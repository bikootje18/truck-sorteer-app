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waninternational.sharepoint.com/sites/WarehouseFiles/Shared Documents/General/Operations/2026 Monster Project/"/>
    </mc:Choice>
  </mc:AlternateContent>
  <xr:revisionPtr revIDLastSave="0" documentId="8_{7CEDC0B7-7C6D-4268-A7EF-81ED03381743}" xr6:coauthVersionLast="47" xr6:coauthVersionMax="47" xr10:uidLastSave="{00000000-0000-0000-0000-000000000000}"/>
  <bookViews>
    <workbookView xWindow="-98" yWindow="-98" windowWidth="21795" windowHeight="13875" xr2:uid="{8637112E-9022-4D24-9B1D-6A76B08A7E09}"/>
  </bookViews>
  <sheets>
    <sheet name="RDS014871-PLZW22L24 060826" sheetId="4" r:id="rId1"/>
    <sheet name="RDS015113-BORW24L1 070826" sheetId="2" r:id="rId2"/>
    <sheet name="RDS015113-ICTW24L3 100826" sheetId="1" r:id="rId3"/>
    <sheet name="RDS015113-WIJW24L1 TBC" sheetId="3" r:id="rId4"/>
  </sheets>
  <definedNames>
    <definedName name="_xlnm._FilterDatabase" localSheetId="1" hidden="1">'RDS015113-BORW24L1 070826'!$C$2:$R$2</definedName>
    <definedName name="_xlnm._FilterDatabase" localSheetId="2" hidden="1">'RDS015113-ICTW24L3 100826'!$A$2:$P$51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" i="1" l="1"/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3" i="2"/>
  <c r="L47" i="3"/>
  <c r="L84" i="3"/>
  <c r="L143" i="3"/>
  <c r="M40" i="2" l="1"/>
  <c r="L51" i="1" l="1"/>
  <c r="L1" i="1" s="1"/>
</calcChain>
</file>

<file path=xl/sharedStrings.xml><?xml version="1.0" encoding="utf-8"?>
<sst xmlns="http://schemas.openxmlformats.org/spreadsheetml/2006/main" count="3289" uniqueCount="801">
  <si>
    <t>Urgent</t>
  </si>
  <si>
    <t>3277</t>
  </si>
  <si>
    <t>ICT LOGISTICS A/S (MEIE)</t>
  </si>
  <si>
    <t>DK</t>
  </si>
  <si>
    <t>Netherlands</t>
  </si>
  <si>
    <t>Full Pallet</t>
  </si>
  <si>
    <t>Rownas</t>
  </si>
  <si>
    <t>MONSTER ULTRA DK 24/500ML V2</t>
  </si>
  <si>
    <t>MONSTER ULTRA DK 12/568ML</t>
  </si>
  <si>
    <t>MONSTER ZERO SUGAR GREEN DK 24/500ML</t>
  </si>
  <si>
    <t>MON FULL THROTTLE ZERO SUGAR DK 24/500ML</t>
  </si>
  <si>
    <t>MON LANDO NORRIS ZERO SUGAR DK 24/500ML</t>
  </si>
  <si>
    <t>MON ULT FANTASY RUBY RED DK 24/500ML</t>
  </si>
  <si>
    <t>Poland</t>
  </si>
  <si>
    <t>Category</t>
  </si>
  <si>
    <t>Plant</t>
  </si>
  <si>
    <t>PLANT NAME</t>
  </si>
  <si>
    <t>Material</t>
  </si>
  <si>
    <t>Material Description</t>
  </si>
  <si>
    <t>Market</t>
  </si>
  <si>
    <t>Batch</t>
  </si>
  <si>
    <t>SLED/BBD</t>
  </si>
  <si>
    <t>Country Of Origin (COO)</t>
  </si>
  <si>
    <t>Total Cases</t>
  </si>
  <si>
    <t>Total Pallets</t>
  </si>
  <si>
    <t>Pallet Catergory</t>
  </si>
  <si>
    <t>Customer Name</t>
  </si>
  <si>
    <t>Order No</t>
  </si>
  <si>
    <t>PO No:</t>
  </si>
  <si>
    <t>Load 1</t>
  </si>
  <si>
    <t>Load 2</t>
  </si>
  <si>
    <t>Plant Name</t>
  </si>
  <si>
    <t>105650</t>
  </si>
  <si>
    <t>MONSTER ENERGY DK 24/500ML-V.3</t>
  </si>
  <si>
    <t>105657</t>
  </si>
  <si>
    <t>MONSTER ENERGY ROSSI DK 24/500ML-V.2</t>
  </si>
  <si>
    <t>108386</t>
  </si>
  <si>
    <t>111481</t>
  </si>
  <si>
    <t>MONSTER NITROUS SUPER DRY DK 24/500ML</t>
  </si>
  <si>
    <t>110015</t>
  </si>
  <si>
    <t>MON PIPELINE PUNCH DK 24/500ML V2</t>
  </si>
  <si>
    <t>110450</t>
  </si>
  <si>
    <t>MONSTER JCD MANGO LOCO DK 24/500ML V2</t>
  </si>
  <si>
    <t>110659</t>
  </si>
  <si>
    <t>MONSTER ULTRA FIESTA DK 24/500ML</t>
  </si>
  <si>
    <t>111068</t>
  </si>
  <si>
    <t>MONSTER ZERO ULTRA DK 6/4/500ML</t>
  </si>
  <si>
    <t>111393</t>
  </si>
  <si>
    <t>MONSTER ENERGY DK 12/568ML</t>
  </si>
  <si>
    <t>111395</t>
  </si>
  <si>
    <t>MONSTER JCD MANGO LOCO DK 12/568ML</t>
  </si>
  <si>
    <t>111553</t>
  </si>
  <si>
    <t>MONSTER JUICE MONARCH DK 24/500ML</t>
  </si>
  <si>
    <t>116651</t>
  </si>
  <si>
    <t>112878</t>
  </si>
  <si>
    <t>MONSTER ULTRA ROSA DK 24/500ML</t>
  </si>
  <si>
    <t>113279</t>
  </si>
  <si>
    <t>MON JUI AUSSIE LEMONADE DK 24/500ML</t>
  </si>
  <si>
    <t>113440</t>
  </si>
  <si>
    <t>MONSTER JUICED KHAOTIC DK 24/500ML V2</t>
  </si>
  <si>
    <t>113767</t>
  </si>
  <si>
    <t>MON ULTRA GOLDEN PINEAPPLE DK 24/500ML</t>
  </si>
  <si>
    <t>113784</t>
  </si>
  <si>
    <t>MONSTER ULTRA DK 3/8/500ML</t>
  </si>
  <si>
    <t>113785</t>
  </si>
  <si>
    <t>MONSTER ENERGY DK 3/8/500ML</t>
  </si>
  <si>
    <t>114563</t>
  </si>
  <si>
    <t>114619</t>
  </si>
  <si>
    <t>MON ULTRA PEACHY KEEN DK 24/500ML</t>
  </si>
  <si>
    <t>114621</t>
  </si>
  <si>
    <t>MONSTER ABSOLUTE ZERO DK 24/500ML V5</t>
  </si>
  <si>
    <t>115239</t>
  </si>
  <si>
    <t>MONSTER ZERO SUGAR GREEN DK 6/4/500ML</t>
  </si>
  <si>
    <t>116504</t>
  </si>
  <si>
    <t>MONSTER JUICED RIO PUNCH DK 24/500ML</t>
  </si>
  <si>
    <t>116647</t>
  </si>
  <si>
    <t>MON ULTRA STRAWBERRY DREAMS DK 24/500ML</t>
  </si>
  <si>
    <t>117721</t>
  </si>
  <si>
    <t>117421</t>
  </si>
  <si>
    <t>111394</t>
  </si>
  <si>
    <t>0006029936</t>
  </si>
  <si>
    <t>0006059857</t>
  </si>
  <si>
    <t>G2429QB2</t>
  </si>
  <si>
    <t>A2502QB2</t>
  </si>
  <si>
    <t>C2515QB2</t>
  </si>
  <si>
    <t>0006016283</t>
  </si>
  <si>
    <t>2381403</t>
  </si>
  <si>
    <t>United Kingdom</t>
  </si>
  <si>
    <t>0002268527</t>
  </si>
  <si>
    <t>0006059904</t>
  </si>
  <si>
    <t>I2407QB2</t>
  </si>
  <si>
    <t>4K2428</t>
  </si>
  <si>
    <t>Germany</t>
  </si>
  <si>
    <t>4C2521</t>
  </si>
  <si>
    <t>5H2427</t>
  </si>
  <si>
    <t>4E2529</t>
  </si>
  <si>
    <t>4G2512</t>
  </si>
  <si>
    <t>0006001563</t>
  </si>
  <si>
    <t>0002274377</t>
  </si>
  <si>
    <t>0006006018</t>
  </si>
  <si>
    <t>0006020151</t>
  </si>
  <si>
    <t>4C2516</t>
  </si>
  <si>
    <t>4C2511</t>
  </si>
  <si>
    <t>0006006212</t>
  </si>
  <si>
    <t>0006055540</t>
  </si>
  <si>
    <t>J2406QB2</t>
  </si>
  <si>
    <t>B2510QB2</t>
  </si>
  <si>
    <t>K2410QB2</t>
  </si>
  <si>
    <t>H2430QB2</t>
  </si>
  <si>
    <t>H2423QB2</t>
  </si>
  <si>
    <t>0002399373</t>
  </si>
  <si>
    <t>0002318826</t>
  </si>
  <si>
    <t>0006070538</t>
  </si>
  <si>
    <t>2381192</t>
  </si>
  <si>
    <t>2385166</t>
  </si>
  <si>
    <t>0006028056</t>
  </si>
  <si>
    <t>0002297031</t>
  </si>
  <si>
    <t>A2518QB2</t>
  </si>
  <si>
    <t>0006003921</t>
  </si>
  <si>
    <t>I2426QB2</t>
  </si>
  <si>
    <t>H2429QB2</t>
  </si>
  <si>
    <t>K2404QB2</t>
  </si>
  <si>
    <t>0006047541</t>
  </si>
  <si>
    <t>L2431QB2</t>
  </si>
  <si>
    <t>A2507QB2</t>
  </si>
  <si>
    <t>I2508QB2</t>
  </si>
  <si>
    <t>L2523QB2</t>
  </si>
  <si>
    <t>K2417QB2</t>
  </si>
  <si>
    <t>0006058303</t>
  </si>
  <si>
    <t>0006005093</t>
  </si>
  <si>
    <t>Total Cases (Part Pallets)</t>
  </si>
  <si>
    <t>Rainbow Pallet Proposal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</si>
  <si>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</si>
  <si>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</si>
  <si>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</si>
  <si>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</si>
  <si>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</si>
  <si>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</si>
  <si>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</si>
  <si>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</si>
  <si>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</si>
  <si>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</si>
  <si>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</si>
  <si>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</si>
  <si>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</si>
  <si>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</si>
  <si>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</si>
  <si>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</si>
  <si>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</si>
  <si>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</si>
  <si>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</si>
  <si>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</si>
  <si>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</si>
  <si>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</si>
  <si>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</si>
  <si>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Total 23 Pallets</t>
  </si>
  <si>
    <t>Rainbow Pallet</t>
  </si>
  <si>
    <t>Load 3</t>
  </si>
  <si>
    <t>Boras Available Stock</t>
  </si>
  <si>
    <t>Pallet Count</t>
  </si>
  <si>
    <t>Pallet Category</t>
  </si>
  <si>
    <t>3326</t>
  </si>
  <si>
    <t>DFDS CLC ONE  SE</t>
  </si>
  <si>
    <t>114595</t>
  </si>
  <si>
    <t>MONSTER ABSOLUTE ZERO SE/IS 24/500ML V2</t>
  </si>
  <si>
    <t>SE/IS</t>
  </si>
  <si>
    <t>240808116</t>
  </si>
  <si>
    <t>Italy</t>
  </si>
  <si>
    <t xml:space="preserve">Rainbow Pallet </t>
  </si>
  <si>
    <t>113612</t>
  </si>
  <si>
    <t>MON ULTRA PEACHY KEEN SE 24/500ML</t>
  </si>
  <si>
    <t>SE</t>
  </si>
  <si>
    <t>0002300391</t>
  </si>
  <si>
    <t>112858</t>
  </si>
  <si>
    <t>MONSTER ULTRA ROSA SE 24/500ML</t>
  </si>
  <si>
    <t>0002293653</t>
  </si>
  <si>
    <t>241213116</t>
  </si>
  <si>
    <t>116428</t>
  </si>
  <si>
    <t>MON ULT STRAWBERY DREAMS SE/IS 24/500ML</t>
  </si>
  <si>
    <t>250109116</t>
  </si>
  <si>
    <t>114350</t>
  </si>
  <si>
    <t>MONSTER ZERO SUGAR GREEN SE/IS 24/500ML</t>
  </si>
  <si>
    <t>250125116</t>
  </si>
  <si>
    <t>116501</t>
  </si>
  <si>
    <t>MONSTER JUICED RIO PUNCH SE/IS 24/500ML</t>
  </si>
  <si>
    <t>250130116</t>
  </si>
  <si>
    <t>250409116</t>
  </si>
  <si>
    <t>117477</t>
  </si>
  <si>
    <t>MONSTER ULTRA COD25 SE/IS 24/500ML</t>
  </si>
  <si>
    <t>250817116</t>
  </si>
  <si>
    <t>250624116</t>
  </si>
  <si>
    <t>103087</t>
  </si>
  <si>
    <t>MONSTER ENERGY 1KR SE 24/500ML - V.3</t>
  </si>
  <si>
    <t>251127116</t>
  </si>
  <si>
    <t>260122116</t>
  </si>
  <si>
    <t>109934</t>
  </si>
  <si>
    <t>MONSTER PIPELINE PUNCH SE 24/500ML V2</t>
  </si>
  <si>
    <t>260129116</t>
  </si>
  <si>
    <t>115097</t>
  </si>
  <si>
    <t>MONSTER JUICE BAD APPLE SE/IS 24/500ML</t>
  </si>
  <si>
    <t>250827116</t>
  </si>
  <si>
    <t>250919116</t>
  </si>
  <si>
    <t>251027116</t>
  </si>
  <si>
    <t>251002116</t>
  </si>
  <si>
    <t>251004116</t>
  </si>
  <si>
    <t>250914116</t>
  </si>
  <si>
    <t>103545</t>
  </si>
  <si>
    <t>MONSTER ENERGY ULTRA SE 24/500ML</t>
  </si>
  <si>
    <t>251008116</t>
  </si>
  <si>
    <t>117466</t>
  </si>
  <si>
    <t>MONSTER ENERGY COD25 SE/IS 24/500ML</t>
  </si>
  <si>
    <t>251017116</t>
  </si>
  <si>
    <t>260212116</t>
  </si>
  <si>
    <t>260218116</t>
  </si>
  <si>
    <t>110372</t>
  </si>
  <si>
    <t>MONSTER ULTRA FIESTA SE 24/500ML</t>
  </si>
  <si>
    <t>260404116</t>
  </si>
  <si>
    <t>110305</t>
  </si>
  <si>
    <t>MONSTER JUICE MANGO LOCO SE 24/500ML V2</t>
  </si>
  <si>
    <t>240925116</t>
  </si>
  <si>
    <t>113842</t>
  </si>
  <si>
    <t>MON NITRO COSMIC PEACH SE/IS 24/500ML</t>
  </si>
  <si>
    <t>0002308765</t>
  </si>
  <si>
    <t>250407000</t>
  </si>
  <si>
    <t xml:space="preserve">Layers 5 &amp; more </t>
  </si>
  <si>
    <t>250606116</t>
  </si>
  <si>
    <t>250810116</t>
  </si>
  <si>
    <t>250905116</t>
  </si>
  <si>
    <t>111261</t>
  </si>
  <si>
    <t>MONSTER ULTRA WATERMELON SE 24/500ML</t>
  </si>
  <si>
    <t>251029116</t>
  </si>
  <si>
    <t>251123116</t>
  </si>
  <si>
    <t>118043</t>
  </si>
  <si>
    <t>MON JUI VIKING BERRY 2KR SE/IS 24/500ML</t>
  </si>
  <si>
    <t>0006068578</t>
  </si>
  <si>
    <t>251206116</t>
  </si>
  <si>
    <t>0006080927</t>
  </si>
  <si>
    <t>Rowan International</t>
  </si>
  <si>
    <t xml:space="preserve">Customer </t>
  </si>
  <si>
    <t>3330</t>
  </si>
  <si>
    <t>DFDS Wijchen MEL 2</t>
  </si>
  <si>
    <t>103531</t>
  </si>
  <si>
    <t>MONSTER ENERGY DE 12/553ML - V.2</t>
  </si>
  <si>
    <t>DE</t>
  </si>
  <si>
    <t>0002325579</t>
  </si>
  <si>
    <t>DFDS Wijchen MEL 3</t>
  </si>
  <si>
    <t>114971</t>
  </si>
  <si>
    <t>MON ABSOLUTE ZERO LOYALTY DE 12/500ML</t>
  </si>
  <si>
    <t>250303551</t>
  </si>
  <si>
    <t>AA</t>
  </si>
  <si>
    <t>DFDS Wijchen MEL 4</t>
  </si>
  <si>
    <t>115047</t>
  </si>
  <si>
    <t>MONSTER JUICE BAD APPLE DE 12/500ML</t>
  </si>
  <si>
    <t>0006039794</t>
  </si>
  <si>
    <t>DFDS Wijchen MEL 5</t>
  </si>
  <si>
    <t>0006013502</t>
  </si>
  <si>
    <t>AB</t>
  </si>
  <si>
    <t>DFDS Wijchen MEL 6</t>
  </si>
  <si>
    <t>0006017995</t>
  </si>
  <si>
    <t>DFDS Wijchen MEL 7</t>
  </si>
  <si>
    <t>115577</t>
  </si>
  <si>
    <t>MONSTER ZERO SUGAR GREEN DE/DK 12/500ML</t>
  </si>
  <si>
    <t>250204551</t>
  </si>
  <si>
    <t>DFDS Wijchen MEL 8</t>
  </si>
  <si>
    <t>0006021472</t>
  </si>
  <si>
    <t>AC</t>
  </si>
  <si>
    <t>DFDS Wijchen MEL 9</t>
  </si>
  <si>
    <t>116656</t>
  </si>
  <si>
    <t>MON TOP SPEED ZERO SUGAR DE 12/500ML</t>
  </si>
  <si>
    <t>0006020160</t>
  </si>
  <si>
    <t>DFDS Wijchen MEL 10</t>
  </si>
  <si>
    <t>116423</t>
  </si>
  <si>
    <t>MON ULT STRAWBERY DREAMS DE 12/500ML</t>
  </si>
  <si>
    <t>250418551</t>
  </si>
  <si>
    <t>AD</t>
  </si>
  <si>
    <t>DFDS Wijchen MEL 11</t>
  </si>
  <si>
    <t>116498</t>
  </si>
  <si>
    <t>MONSTER JUICED RIO PUNCH DE 12/500ML</t>
  </si>
  <si>
    <t>0006011150</t>
  </si>
  <si>
    <t>DFDS Wijchen MEL 13</t>
  </si>
  <si>
    <t>0006018515</t>
  </si>
  <si>
    <t>AE</t>
  </si>
  <si>
    <t>DFDS Wijchen MEL 14</t>
  </si>
  <si>
    <t>251004551</t>
  </si>
  <si>
    <t>AF</t>
  </si>
  <si>
    <t>DFDS Wijchen MEL 15</t>
  </si>
  <si>
    <t>0006037211</t>
  </si>
  <si>
    <t>DFDS Wijchen MEL 16</t>
  </si>
  <si>
    <t>0006023690</t>
  </si>
  <si>
    <t>DFDS Wijchen MEL 17</t>
  </si>
  <si>
    <t>0006030017</t>
  </si>
  <si>
    <t>AG</t>
  </si>
  <si>
    <t>DFDS Wijchen MEL 18</t>
  </si>
  <si>
    <t>0006065170</t>
  </si>
  <si>
    <t>DFDS Wijchen MEL 19</t>
  </si>
  <si>
    <t>0006077162</t>
  </si>
  <si>
    <t>DFDS Wijchen MEL 20</t>
  </si>
  <si>
    <t>250329551</t>
  </si>
  <si>
    <t>AH</t>
  </si>
  <si>
    <t>DFDS Wijchen MEL 21</t>
  </si>
  <si>
    <t>250330551</t>
  </si>
  <si>
    <t>DFDS Wijchen MEL 22</t>
  </si>
  <si>
    <t>116852</t>
  </si>
  <si>
    <t>MONSTER ULTRA PEACHY KEEN DE/DK 12/500ML</t>
  </si>
  <si>
    <t>250726551</t>
  </si>
  <si>
    <t>AI</t>
  </si>
  <si>
    <t>DFDS Wijchen MEL 23</t>
  </si>
  <si>
    <t>117167</t>
  </si>
  <si>
    <t>MON ULT STRAWBERY DREAMS DE/DK 12/500ML</t>
  </si>
  <si>
    <t>250612551</t>
  </si>
  <si>
    <t>DFDS Wijchen MEL 24</t>
  </si>
  <si>
    <t>117338</t>
  </si>
  <si>
    <t>MONSTER MANGO LOCO COD25 DE 12/500ML</t>
  </si>
  <si>
    <t>0006052431</t>
  </si>
  <si>
    <t>DFDS Wijchen MEL 25</t>
  </si>
  <si>
    <t>250908551</t>
  </si>
  <si>
    <t>AJ</t>
  </si>
  <si>
    <t>DFDS Wijchen MEL 26</t>
  </si>
  <si>
    <t>251120551</t>
  </si>
  <si>
    <t>DFDS Wijchen MEL 27</t>
  </si>
  <si>
    <t>117326</t>
  </si>
  <si>
    <t>MONSTER ZER SUG GREEN COD25 DE 12/500ML</t>
  </si>
  <si>
    <t>250816551</t>
  </si>
  <si>
    <t>AK</t>
  </si>
  <si>
    <t>DFDS Wijchen MEL 28</t>
  </si>
  <si>
    <t>117412</t>
  </si>
  <si>
    <t>MON LANDO NOR ZER SUG DE 12/500ML</t>
  </si>
  <si>
    <t>0006062664</t>
  </si>
  <si>
    <t>DFDS Wijchen MEL 29</t>
  </si>
  <si>
    <t>0006051140</t>
  </si>
  <si>
    <t>AL</t>
  </si>
  <si>
    <t>DFDS Wijchen MEL 30</t>
  </si>
  <si>
    <t>117529</t>
  </si>
  <si>
    <t>MONSTER ABSOLUTE ZERO COD25 DE 12/500ML</t>
  </si>
  <si>
    <t>250821551</t>
  </si>
  <si>
    <t>DFDS Wijchen MEL 31</t>
  </si>
  <si>
    <t>117530</t>
  </si>
  <si>
    <t>MONSTER ASSAULT COD25 DE 12/500ML</t>
  </si>
  <si>
    <t>250823551</t>
  </si>
  <si>
    <t>AM</t>
  </si>
  <si>
    <t>DFDS Wijchen MEL 32</t>
  </si>
  <si>
    <t>117634</t>
  </si>
  <si>
    <t>MON ROSSI ZERO SUGAR DE 12/500ML</t>
  </si>
  <si>
    <t>0006059910</t>
  </si>
  <si>
    <t>DFDS Wijchen MEL 33</t>
  </si>
  <si>
    <t>250905551</t>
  </si>
  <si>
    <t>AN</t>
  </si>
  <si>
    <t>DFDS Wijchen MEL 34</t>
  </si>
  <si>
    <t>113050</t>
  </si>
  <si>
    <t>MON JUICE AUS STY LEMONADE FR 12/500ML</t>
  </si>
  <si>
    <t>FR</t>
  </si>
  <si>
    <t>0006040850</t>
  </si>
  <si>
    <t>DFDS Wijchen MEL 35</t>
  </si>
  <si>
    <t>0006086054</t>
  </si>
  <si>
    <t>AO</t>
  </si>
  <si>
    <t>DFDS Wijchen MEL 36</t>
  </si>
  <si>
    <t>0006086080</t>
  </si>
  <si>
    <t>DFDS Wijchen MEL 37</t>
  </si>
  <si>
    <t>117638</t>
  </si>
  <si>
    <t>MON ULTRA FIESTA MANGO COD25 DE 12/500ML</t>
  </si>
  <si>
    <t>250927551</t>
  </si>
  <si>
    <t>DFDS Wijchen MEL 38</t>
  </si>
  <si>
    <t>0006020761</t>
  </si>
  <si>
    <t>AP</t>
  </si>
  <si>
    <t>DFDS Wijchen MEL 39</t>
  </si>
  <si>
    <t>0006079346</t>
  </si>
  <si>
    <t>DFDS Wijchen MEL 40</t>
  </si>
  <si>
    <t>112431</t>
  </si>
  <si>
    <t>MONSTER ENERGY FR 6/4/500ML -V7</t>
  </si>
  <si>
    <t>9135858</t>
  </si>
  <si>
    <t>France</t>
  </si>
  <si>
    <t>AQ</t>
  </si>
  <si>
    <t>DFDS Wijchen MEL 41</t>
  </si>
  <si>
    <t>112767</t>
  </si>
  <si>
    <t>MONSTER ENERGY FR 24/500ML - V.10</t>
  </si>
  <si>
    <t>0009109921</t>
  </si>
  <si>
    <t>DFDS Wijchen MEL 42</t>
  </si>
  <si>
    <t>112027</t>
  </si>
  <si>
    <t>MONSTER NITRO SUPER DRY FR 12/500ML</t>
  </si>
  <si>
    <t>0002323370</t>
  </si>
  <si>
    <t>AR</t>
  </si>
  <si>
    <t>DFDS Wijchen MEL 43</t>
  </si>
  <si>
    <t>112638</t>
  </si>
  <si>
    <t>MONSTER ENERGY ULTRA FR 12/500ML V4</t>
  </si>
  <si>
    <t>9104986</t>
  </si>
  <si>
    <t>DFDS Wijchen MEL 44</t>
  </si>
  <si>
    <t>112639</t>
  </si>
  <si>
    <t>MONSTER JUICED MANGO LOCO FR 12/500ML V5</t>
  </si>
  <si>
    <t>9128476</t>
  </si>
  <si>
    <t>DFDS Wijchen MEL 45</t>
  </si>
  <si>
    <t>112642</t>
  </si>
  <si>
    <t>MON JUICE PIPELINE PUNCH FR 12/500 V4</t>
  </si>
  <si>
    <t>0006042307</t>
  </si>
  <si>
    <t>DFDS Wijchen MEL 46</t>
  </si>
  <si>
    <t>0006029655</t>
  </si>
  <si>
    <t>AS</t>
  </si>
  <si>
    <t>DFDS Wijchen MEL 47</t>
  </si>
  <si>
    <t>113380</t>
  </si>
  <si>
    <t>MONSTER JUICED KHAOTIC FR 12/500ML V2</t>
  </si>
  <si>
    <t>0006011151</t>
  </si>
  <si>
    <t>DFDS Wijchen MEL 48</t>
  </si>
  <si>
    <t>112430</t>
  </si>
  <si>
    <t>MONSTER ENERGY FR 12/500ML - V.7</t>
  </si>
  <si>
    <t>0006033266</t>
  </si>
  <si>
    <t>AT</t>
  </si>
  <si>
    <t>DFDS Wijchen MEL 49</t>
  </si>
  <si>
    <t>115046</t>
  </si>
  <si>
    <t>MONSTER JUICE BAD APPLE FR 12/500ML</t>
  </si>
  <si>
    <t>9106385</t>
  </si>
  <si>
    <t>DFDS Wijchen MEL 50</t>
  </si>
  <si>
    <t>0006063175</t>
  </si>
  <si>
    <t>AU</t>
  </si>
  <si>
    <t>DFDS Wijchen MEL 52</t>
  </si>
  <si>
    <t>112760</t>
  </si>
  <si>
    <t>MONSTER MIXXD PUNCH FR 12/500ML V3</t>
  </si>
  <si>
    <t>9175214</t>
  </si>
  <si>
    <t>AV</t>
  </si>
  <si>
    <t>DFDS Wijchen MEL 53</t>
  </si>
  <si>
    <t>112761</t>
  </si>
  <si>
    <t>MONSTER MONARCH FR 12/500ML V2</t>
  </si>
  <si>
    <t>9038337</t>
  </si>
  <si>
    <t>DFDS Wijchen MEL 54</t>
  </si>
  <si>
    <t>0006005155</t>
  </si>
  <si>
    <t>AW</t>
  </si>
  <si>
    <t>DFDS Wijchen MEL 55</t>
  </si>
  <si>
    <t>9085656</t>
  </si>
  <si>
    <t>DFDS Wijchen MEL 56</t>
  </si>
  <si>
    <t>114076</t>
  </si>
  <si>
    <t>MONSTER ZERO ULTRA LOYALTY DE 24/500ML</t>
  </si>
  <si>
    <t>0006016553</t>
  </si>
  <si>
    <t>AX</t>
  </si>
  <si>
    <t>DFDS Wijchen MEL 57</t>
  </si>
  <si>
    <t>116015</t>
  </si>
  <si>
    <t>MON JUICE MANGO LOCO LOYALTY DE 24/500ML</t>
  </si>
  <si>
    <t>241127116</t>
  </si>
  <si>
    <t>DFDS Wijchen MEL 58</t>
  </si>
  <si>
    <t>0006081288</t>
  </si>
  <si>
    <t>AY</t>
  </si>
  <si>
    <t>DFDS Wijchen MEL 61</t>
  </si>
  <si>
    <t>0006020589</t>
  </si>
  <si>
    <t>DFDS Wijchen MEL 62</t>
  </si>
  <si>
    <t>0002325426</t>
  </si>
  <si>
    <t>BA</t>
  </si>
  <si>
    <t>DFDS Wijchen MEL 63</t>
  </si>
  <si>
    <t>106831</t>
  </si>
  <si>
    <t>MONSTER ENERGY NO 6/4/500ML</t>
  </si>
  <si>
    <t>NO</t>
  </si>
  <si>
    <t>0002300449</t>
  </si>
  <si>
    <t>BB</t>
  </si>
  <si>
    <t>DFDS Wijchen MEL 64</t>
  </si>
  <si>
    <t>107757</t>
  </si>
  <si>
    <t>MONSTER ENERGY ULTRA NO 6/4/500ML</t>
  </si>
  <si>
    <t>0002313093</t>
  </si>
  <si>
    <t>DFDS Wijchen MEL 66</t>
  </si>
  <si>
    <t>112857</t>
  </si>
  <si>
    <t>MONSTER ULTRA ROSA NO 24/500ML</t>
  </si>
  <si>
    <t>0006003903</t>
  </si>
  <si>
    <t>BC</t>
  </si>
  <si>
    <t>DFDS Wijchen MEL 67</t>
  </si>
  <si>
    <t>110016</t>
  </si>
  <si>
    <t>MONSTER PIPELINE PUNCH NO 24/500ML V2</t>
  </si>
  <si>
    <t>0002321634</t>
  </si>
  <si>
    <t>BD</t>
  </si>
  <si>
    <t>DFDS Wijchen MEL 68</t>
  </si>
  <si>
    <t>113780</t>
  </si>
  <si>
    <t>MON ULTRA PEACHY KEEN NO 24/500ML</t>
  </si>
  <si>
    <t>0002297800</t>
  </si>
  <si>
    <t>DFDS Wijchen MEL 69</t>
  </si>
  <si>
    <t>108450</t>
  </si>
  <si>
    <t>MONSTER ULTRA NO 24/500ML V2</t>
  </si>
  <si>
    <t>0006009279</t>
  </si>
  <si>
    <t>BE</t>
  </si>
  <si>
    <t>DFDS Wijchen MEL 70</t>
  </si>
  <si>
    <t>0002316335</t>
  </si>
  <si>
    <t>DFDS Wijchen MEL 71</t>
  </si>
  <si>
    <t>0002275791</t>
  </si>
  <si>
    <t>BF</t>
  </si>
  <si>
    <t>DFDS Wijchen MEL 72</t>
  </si>
  <si>
    <t>0002322752</t>
  </si>
  <si>
    <t>DFDS Wijchen MEL 73</t>
  </si>
  <si>
    <t>0006001611</t>
  </si>
  <si>
    <t>BG</t>
  </si>
  <si>
    <t>DFDS Wijchen MEL 74</t>
  </si>
  <si>
    <t>116502</t>
  </si>
  <si>
    <t>MONSTER JUICED RIO PUNCH NO 24/500ML</t>
  </si>
  <si>
    <t>0002310194</t>
  </si>
  <si>
    <t>DFDS Wijchen MEL 75</t>
  </si>
  <si>
    <t>0006001621</t>
  </si>
  <si>
    <t>BH</t>
  </si>
  <si>
    <t>DFDS Wijchen MEL 76</t>
  </si>
  <si>
    <t>117423</t>
  </si>
  <si>
    <t>MON LANDO NORRIS ZERO SUGAR NO 24/500ML</t>
  </si>
  <si>
    <t>0006020633</t>
  </si>
  <si>
    <t>DFDS Wijchen MEL 77</t>
  </si>
  <si>
    <t>114520</t>
  </si>
  <si>
    <t>MON ZERO SUGAR GREEN NO 24/500ML</t>
  </si>
  <si>
    <t>0002320851</t>
  </si>
  <si>
    <t>BI</t>
  </si>
  <si>
    <t>DFDS Wijchen MEL 78</t>
  </si>
  <si>
    <t>0002320821</t>
  </si>
  <si>
    <t>DFDS Wijchen MEL 79</t>
  </si>
  <si>
    <t>0002305124</t>
  </si>
  <si>
    <t>BJ</t>
  </si>
  <si>
    <t>DFDS Wijchen MEL 80</t>
  </si>
  <si>
    <t>0006020634</t>
  </si>
  <si>
    <t>DFDS Wijchen MEL 81</t>
  </si>
  <si>
    <t>116646</t>
  </si>
  <si>
    <t>MON ULTRA STRAWBERRY DREAMS NO 24/500ML</t>
  </si>
  <si>
    <t>0002313758</t>
  </si>
  <si>
    <t>BK</t>
  </si>
  <si>
    <t>DFDS Wijchen MEL 82</t>
  </si>
  <si>
    <t>0006023493</t>
  </si>
  <si>
    <t>DFDS Wijchen MEL 83</t>
  </si>
  <si>
    <t>0006037120</t>
  </si>
  <si>
    <t>BL</t>
  </si>
  <si>
    <t>DFDS Wijchen MEL 84</t>
  </si>
  <si>
    <t>0006044998</t>
  </si>
  <si>
    <t>DFDS Wijchen MEL 85</t>
  </si>
  <si>
    <t>0006055508</t>
  </si>
  <si>
    <t>BM</t>
  </si>
  <si>
    <t>DFDS Wijchen MEL 86</t>
  </si>
  <si>
    <t>117508</t>
  </si>
  <si>
    <t>MONSTER ULTRA COD25 NO 24/500ML</t>
  </si>
  <si>
    <t>0006058912</t>
  </si>
  <si>
    <t>DFDS Wijchen MEL 87</t>
  </si>
  <si>
    <t>9344239</t>
  </si>
  <si>
    <t>BN</t>
  </si>
  <si>
    <t>DFDS Wijchen MEL 88</t>
  </si>
  <si>
    <t>109384</t>
  </si>
  <si>
    <t>MONSTER ULTRA PARADISE DE 12/500ML CCG2</t>
  </si>
  <si>
    <t>0006063750</t>
  </si>
  <si>
    <t>DFDS Wijchen MEL 89</t>
  </si>
  <si>
    <t>0006073379</t>
  </si>
  <si>
    <t>DFDS Wijchen MEL 90</t>
  </si>
  <si>
    <t>111262</t>
  </si>
  <si>
    <t>MONSTER ULTRA WATERMELON DE 12/500ML</t>
  </si>
  <si>
    <t>0006004596</t>
  </si>
  <si>
    <t>DFDS Wijchen MEL 91</t>
  </si>
  <si>
    <t>0006012325</t>
  </si>
  <si>
    <t>DFDS Wijchen MEL 92</t>
  </si>
  <si>
    <t>0006080922</t>
  </si>
  <si>
    <t>DFDS Wijchen MEL 93</t>
  </si>
  <si>
    <t>110856</t>
  </si>
  <si>
    <t>MONSTER NITRO SUPER DRY DE 12/500ML</t>
  </si>
  <si>
    <t>0006012334</t>
  </si>
  <si>
    <t>DFDS Wijchen MEL 94</t>
  </si>
  <si>
    <t>112855</t>
  </si>
  <si>
    <t>MONSTER ULTRA ROSA DE 12/500ML</t>
  </si>
  <si>
    <t>241001000</t>
  </si>
  <si>
    <t>DFDS Wijchen MEL 95</t>
  </si>
  <si>
    <t>0006035585</t>
  </si>
  <si>
    <t>DFDS Wijchen MEL 96</t>
  </si>
  <si>
    <t>250404551</t>
  </si>
  <si>
    <t>DFDS Wijchen MEL 97</t>
  </si>
  <si>
    <t>0006036685</t>
  </si>
  <si>
    <t>DFDS Wijchen MEL 98</t>
  </si>
  <si>
    <t>0006020156</t>
  </si>
  <si>
    <t>DFDS Wijchen MEL 99</t>
  </si>
  <si>
    <t>0006058204</t>
  </si>
  <si>
    <t>DFDS Wijchen MEL 100</t>
  </si>
  <si>
    <t>260117551</t>
  </si>
  <si>
    <t>DFDS Wijchen MEL 101</t>
  </si>
  <si>
    <t>0006012326</t>
  </si>
  <si>
    <t>DFDS Wijchen MEL 102</t>
  </si>
  <si>
    <t>0006080658</t>
  </si>
  <si>
    <t>DFDS Wijchen MEL 103</t>
  </si>
  <si>
    <t>0006023530</t>
  </si>
  <si>
    <t>DFDS Wijchen MEL 104</t>
  </si>
  <si>
    <t>0006076233</t>
  </si>
  <si>
    <t>DFDS Wijchen MEL 105</t>
  </si>
  <si>
    <t>0006086799</t>
  </si>
  <si>
    <t>DFDS Wijchen MEL 106</t>
  </si>
  <si>
    <t>113697</t>
  </si>
  <si>
    <t>MON ULT GOLD PINEAPPLE DE 12/500ML V.2</t>
  </si>
  <si>
    <t>0006061651</t>
  </si>
  <si>
    <t>DFDS Wijchen MEL 107</t>
  </si>
  <si>
    <t>113381</t>
  </si>
  <si>
    <t>MON JUICED KHAOTIC DE 12/500ML V2</t>
  </si>
  <si>
    <t>0002300995</t>
  </si>
  <si>
    <t>DFDS Wijchen MEL 108</t>
  </si>
  <si>
    <t>250606551</t>
  </si>
  <si>
    <t>DFDS Wijchen MEL 109</t>
  </si>
  <si>
    <t>112898</t>
  </si>
  <si>
    <t>MON AUSSIE STYLE LEMONADE DE 12/500ML</t>
  </si>
  <si>
    <t>0002282714</t>
  </si>
  <si>
    <t>DFDS Wijchen MEL 111</t>
  </si>
  <si>
    <t>114089</t>
  </si>
  <si>
    <t>MONSTER ASSAULT LOYALTY DE 12/500ML</t>
  </si>
  <si>
    <t>0002316036</t>
  </si>
  <si>
    <t>DFDS Wijchen MEL 112</t>
  </si>
  <si>
    <t>0006082647</t>
  </si>
  <si>
    <t>DFDS Wijchen MEL 113</t>
  </si>
  <si>
    <t>114119</t>
  </si>
  <si>
    <t>MONSTER ENERGY ULTRA LOYALTY DE 12/500ML</t>
  </si>
  <si>
    <t>0006028956</t>
  </si>
  <si>
    <t>DFDS Wijchen MEL 114</t>
  </si>
  <si>
    <t>113841</t>
  </si>
  <si>
    <t>MONSTER NITRO COSMIC PEACH DE 12/500ML</t>
  </si>
  <si>
    <t>0006065091</t>
  </si>
  <si>
    <t>DFDS Wijchen MEL 115</t>
  </si>
  <si>
    <t>0006010660</t>
  </si>
  <si>
    <t>DFDS Wijchen MEL 116</t>
  </si>
  <si>
    <t>0006061714</t>
  </si>
  <si>
    <t>DFDS Wijchen MEL 117</t>
  </si>
  <si>
    <t>0006078483</t>
  </si>
  <si>
    <t>DFDS Wijchen MEL 118</t>
  </si>
  <si>
    <t>250116551</t>
  </si>
  <si>
    <t>DFDS Wijchen MEL 119</t>
  </si>
  <si>
    <t>250308551</t>
  </si>
  <si>
    <t>DFDS Wijchen MEL 120</t>
  </si>
  <si>
    <t>250311551</t>
  </si>
  <si>
    <t>DFDS Wijchen MEL 121</t>
  </si>
  <si>
    <t>250516551</t>
  </si>
  <si>
    <t>DFDS Wijchen MEL 122</t>
  </si>
  <si>
    <t>114116</t>
  </si>
  <si>
    <t>MONSTER ULTRA FIESTA LOYALTY DE 12/500ML</t>
  </si>
  <si>
    <t>0006023645</t>
  </si>
  <si>
    <t>DFDS Wijchen MEL 123</t>
  </si>
  <si>
    <t>250724551</t>
  </si>
  <si>
    <t>DFDS Wijchen MEL 124</t>
  </si>
  <si>
    <t>0006012254</t>
  </si>
  <si>
    <t>DFDS Wijchen MEL 125</t>
  </si>
  <si>
    <t>0006033281</t>
  </si>
  <si>
    <t>DFDS Wijchen MEL 126</t>
  </si>
  <si>
    <t>0006069878</t>
  </si>
  <si>
    <t>DFDS Wijchen MEL 127</t>
  </si>
  <si>
    <t>250723551</t>
  </si>
  <si>
    <t>DFDS Wijchen MEL 128</t>
  </si>
  <si>
    <t>114140</t>
  </si>
  <si>
    <t>MON JUICE MANGO LOCO LOYALTY DE 12/500ML</t>
  </si>
  <si>
    <t>0006018004</t>
  </si>
  <si>
    <t>DFDS Wijchen MEL 129</t>
  </si>
  <si>
    <t>114312</t>
  </si>
  <si>
    <t>MON ZERO SUGAR GREEN DE 12/500ML</t>
  </si>
  <si>
    <t>250214551</t>
  </si>
  <si>
    <t>DFDS Wijchen MEL 130</t>
  </si>
  <si>
    <t>0002325989</t>
  </si>
  <si>
    <t>DFDS Wijchen MEL 131</t>
  </si>
  <si>
    <t>0006044256</t>
  </si>
  <si>
    <t>DFDS Wijchen MEL 132</t>
  </si>
  <si>
    <t>0006023455</t>
  </si>
  <si>
    <t>DFDS Wijchen MEL 133</t>
  </si>
  <si>
    <t>250630551</t>
  </si>
  <si>
    <t>DFDS Wijchen MEL 134</t>
  </si>
  <si>
    <t>0006069879</t>
  </si>
  <si>
    <t>DFDS Wijchen MEL 135</t>
  </si>
  <si>
    <t>250702551</t>
  </si>
  <si>
    <t>DFDS Wijchen MEL 136</t>
  </si>
  <si>
    <t>114654</t>
  </si>
  <si>
    <t>MONSTER ULTRA PEACHY KEEN DE 12/500ML</t>
  </si>
  <si>
    <t>0006023639</t>
  </si>
  <si>
    <t>DFDS Wijchen MEL 137</t>
  </si>
  <si>
    <t>DFDS Wijchen MEL 138</t>
  </si>
  <si>
    <t>0006035315</t>
  </si>
  <si>
    <t>DFDS Wijchen MEL 139</t>
  </si>
  <si>
    <t>0006023660</t>
  </si>
  <si>
    <t>X</t>
  </si>
  <si>
    <t>DFDS Wijchen MEL 140</t>
  </si>
  <si>
    <t>250215551</t>
  </si>
  <si>
    <t>DFDS Wijchen MEL 141</t>
  </si>
  <si>
    <t>0006023638</t>
  </si>
  <si>
    <t>Y</t>
  </si>
  <si>
    <t>DFDS Wijchen MEL 142</t>
  </si>
  <si>
    <t>0006036694</t>
  </si>
  <si>
    <t>DFDS Wijchen MEL 143</t>
  </si>
  <si>
    <t>250319551</t>
  </si>
  <si>
    <t>DFDS Wijchen MEL 144</t>
  </si>
  <si>
    <t>0006020165</t>
  </si>
  <si>
    <t>Z</t>
  </si>
  <si>
    <t>DFDS Wijchen MEL 145</t>
  </si>
  <si>
    <t>0006023661</t>
  </si>
  <si>
    <t>DFDS Wijchen MEL 146</t>
  </si>
  <si>
    <t>250220551</t>
  </si>
  <si>
    <t>Total 24Pallets</t>
  </si>
  <si>
    <t>Total 20 Pallets</t>
  </si>
  <si>
    <t>Total 21 Pallets</t>
  </si>
  <si>
    <t>Wave 22 G List</t>
  </si>
  <si>
    <t>Wave 24</t>
  </si>
  <si>
    <t>Wave 22 D List</t>
  </si>
  <si>
    <t>Wave 22</t>
  </si>
  <si>
    <t>Pallet Label</t>
  </si>
  <si>
    <t>3349</t>
  </si>
  <si>
    <t>DFDS Poland - Żerniki</t>
  </si>
  <si>
    <t>241220551</t>
  </si>
  <si>
    <t>2 - 4 Layers</t>
  </si>
  <si>
    <t>117522</t>
  </si>
  <si>
    <t>MONSTER ENERGY PL DRS 24/500ML</t>
  </si>
  <si>
    <t>B2628QB2</t>
  </si>
  <si>
    <t>113342</t>
  </si>
  <si>
    <t>MONSTER JUICED KHAOTIC FI 24/500ML</t>
  </si>
  <si>
    <t>F2511QB2</t>
  </si>
  <si>
    <t>K2528QB2</t>
  </si>
  <si>
    <t>116550</t>
  </si>
  <si>
    <t>MONSTER JUICED RIO PUNCH FI 24/500ML</t>
  </si>
  <si>
    <t>B2621QB2</t>
  </si>
  <si>
    <t>D2604QB2</t>
  </si>
  <si>
    <t>E2609QB2</t>
  </si>
  <si>
    <t>116560</t>
  </si>
  <si>
    <t>MON ULTRA PEACHY KEEN FI 24/500ML</t>
  </si>
  <si>
    <t>E2618QB2</t>
  </si>
  <si>
    <t>118469</t>
  </si>
  <si>
    <t>MONSTER ENERGY HU 24/500ML V8</t>
  </si>
  <si>
    <t>260426551</t>
  </si>
  <si>
    <t>115550</t>
  </si>
  <si>
    <t>MONSTER ENERGY HU 24/500ML DRS</t>
  </si>
  <si>
    <t>250803551</t>
  </si>
  <si>
    <t>110668</t>
  </si>
  <si>
    <t>MONSTER ENERGY KZ 12/500ML</t>
  </si>
  <si>
    <t>L2403QB2</t>
  </si>
  <si>
    <t>110802</t>
  </si>
  <si>
    <t>MONSTER ULTRA KZ 12/500ML</t>
  </si>
  <si>
    <t>E2508QB2</t>
  </si>
  <si>
    <t>114737</t>
  </si>
  <si>
    <t>MONSTER ULTRA ROSA EE/LV/LT 12/500ML</t>
  </si>
  <si>
    <t>A2522QB2</t>
  </si>
  <si>
    <t>K2408QB2</t>
  </si>
  <si>
    <t>110805</t>
  </si>
  <si>
    <t>MONSTER ROSSI KZ 12/500ML</t>
  </si>
  <si>
    <t>D2506QB2</t>
  </si>
  <si>
    <t>115642</t>
  </si>
  <si>
    <t>MON ZERO SUGAR GREEN HU DRS 12/500ML</t>
  </si>
  <si>
    <t>250314551</t>
  </si>
  <si>
    <t>251002551</t>
  </si>
  <si>
    <t>115643</t>
  </si>
  <si>
    <t>MONSTER ULTRA ROSA HU DRS 12/500ML</t>
  </si>
  <si>
    <t>250417551</t>
  </si>
  <si>
    <t>250518551</t>
  </si>
  <si>
    <t>115717</t>
  </si>
  <si>
    <t>MONSTER ULTRA FIESTA HU 12/500ML DRS</t>
  </si>
  <si>
    <t>250407551</t>
  </si>
  <si>
    <t>250902551</t>
  </si>
  <si>
    <t>116511</t>
  </si>
  <si>
    <t>MON ULTRA STRAWBERY DREAMS HU 12/500ML</t>
  </si>
  <si>
    <t>250206551</t>
  </si>
  <si>
    <t>250508551</t>
  </si>
  <si>
    <t>117229</t>
  </si>
  <si>
    <t>MON JUICED MANGO LOCO PL 12/500ML DRS</t>
  </si>
  <si>
    <t>C2614QB2</t>
  </si>
  <si>
    <t>D2618QB2</t>
  </si>
  <si>
    <t>118463</t>
  </si>
  <si>
    <t>MON FULL THROTTLE ZS HU 12/500ML V2</t>
  </si>
  <si>
    <t>251019551</t>
  </si>
  <si>
    <t>251122551</t>
  </si>
  <si>
    <t>118510</t>
  </si>
  <si>
    <t>MON ZERO SUGAR GREEN HU 12/500ML V2</t>
  </si>
  <si>
    <t>251022551</t>
  </si>
  <si>
    <t>260121551</t>
  </si>
  <si>
    <t>118511</t>
  </si>
  <si>
    <t>MON ULTR GOLDEN PINEAPPLE HU 12/500ML V3</t>
  </si>
  <si>
    <t>251018551</t>
  </si>
  <si>
    <t>260122551</t>
  </si>
  <si>
    <t>118513</t>
  </si>
  <si>
    <t>MONSTER ULTRA FIESTA HU 12/500ML V3</t>
  </si>
  <si>
    <t>251026551</t>
  </si>
  <si>
    <t>260412551</t>
  </si>
  <si>
    <t>118518</t>
  </si>
  <si>
    <t>MONSTER ULTRA HU 12/500ML V5</t>
  </si>
  <si>
    <t>260409551</t>
  </si>
  <si>
    <t>251221551</t>
  </si>
  <si>
    <t>260213551</t>
  </si>
  <si>
    <t>115680</t>
  </si>
  <si>
    <t>MON ULTRA PARADISE EE/LT/LV 12/500ML V3</t>
  </si>
  <si>
    <t>241126551</t>
  </si>
  <si>
    <t>116394</t>
  </si>
  <si>
    <t>MON ULTRA PEACHY KEEN LT/EE/LV 12/500ML</t>
  </si>
  <si>
    <t>260308551</t>
  </si>
  <si>
    <t>116587</t>
  </si>
  <si>
    <t>MONSTER ULTRA HU 12/500ML V4</t>
  </si>
  <si>
    <t>116699</t>
  </si>
  <si>
    <t>MON FULL THROTTLE ZERO SUG HU 12/500ML</t>
  </si>
  <si>
    <t>117414</t>
  </si>
  <si>
    <t>MON LANDO NOR ZER SUG HU 12/500ML</t>
  </si>
  <si>
    <t>251011551</t>
  </si>
  <si>
    <t>117768</t>
  </si>
  <si>
    <t>MON ROSSI ZERO SUGAR HU 12/500ML</t>
  </si>
  <si>
    <t>251231551</t>
  </si>
  <si>
    <t>118042</t>
  </si>
  <si>
    <t>MON ULT FANTASY RUBY RED HU 12/500ML</t>
  </si>
  <si>
    <t>251211551</t>
  </si>
  <si>
    <t>260415551</t>
  </si>
  <si>
    <t>118520</t>
  </si>
  <si>
    <t>MON LANDO NOR ZER SUG HU 12/500ML V2</t>
  </si>
  <si>
    <t>251223551</t>
  </si>
  <si>
    <t>118554</t>
  </si>
  <si>
    <t>MON ULT STRAWBER DREAMS HU 12/500ML V2</t>
  </si>
  <si>
    <t>260518551</t>
  </si>
  <si>
    <t>118555</t>
  </si>
  <si>
    <t>MONSTER ULTRA ROSA HU 12/500ML V2</t>
  </si>
  <si>
    <t>251118551</t>
  </si>
  <si>
    <t>110806</t>
  </si>
  <si>
    <t>MONSTER MANGO LOCO KZ 12/500ML</t>
  </si>
  <si>
    <t>J2402QB2</t>
  </si>
  <si>
    <t>Total 24 Pallets</t>
  </si>
  <si>
    <t>RDS014871-PLZW22L24</t>
  </si>
  <si>
    <t>RDS015113-WIJW24L1</t>
  </si>
  <si>
    <t>RDS015113-WIJW24L2</t>
  </si>
  <si>
    <t>RDS015113-WIJW24L3</t>
  </si>
  <si>
    <t>RDS015113-BORW24L1</t>
  </si>
  <si>
    <t>BID List</t>
  </si>
  <si>
    <t>Total 80 Pallets</t>
  </si>
  <si>
    <t>RDS015113-ICTW24L3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</si>
</sst>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£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/>
    <xf numFmtId="164" fontId="2" fillId="0" borderId="1" xfId="0" applyNumberFormat="1" applyFont="1" applyBorder="1" applyAlignment="1">
      <alignment vertical="top"/>
    </xf>
    <xf numFmtId="3" fontId="1" fillId="0" borderId="1" xfId="0" applyNumberFormat="1" applyFon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" fontId="0" fillId="5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top"/>
    </xf>
    <xf numFmtId="3" fontId="2" fillId="0" borderId="1" xfId="0" applyNumberFormat="1" applyFont="1" applyBorder="1" applyAlignment="1">
      <alignment horizontal="right" vertical="top"/>
    </xf>
    <xf numFmtId="3" fontId="0" fillId="0" borderId="1" xfId="0" applyNumberFormat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" fillId="3" borderId="1" xfId="0" applyFont="1" applyFill="1" applyBorder="1"/>
    <xf numFmtId="164" fontId="2" fillId="2" borderId="1" xfId="1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right" vertical="top"/>
    </xf>
    <xf numFmtId="4" fontId="2" fillId="0" borderId="1" xfId="0" applyNumberFormat="1" applyFont="1" applyBorder="1" applyAlignment="1">
      <alignment horizontal="center" vertical="top"/>
    </xf>
    <xf numFmtId="3" fontId="0" fillId="2" borderId="1" xfId="0" applyNumberForma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3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</cellXfs>
  <cellStyles count="3">
    <cellStyle name="Comma" xfId="1" builtinId="3"/>
    <cellStyle name="Comma 2" xfId="2" xr:uid="{46E1738A-525D-4F63-AACD-E00C638E343A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0DBD-82BF-4303-8C31-08F229AF695F}">
  <dimension ref="A1:P53"/>
  <sheetViews>
    <sheetView tabSelected="1" workbookViewId="0">
      <selection activeCell="E10" sqref="E10"/>
    </sheetView>
  </sheetViews>
  <sheetFormatPr defaultRowHeight="14.25" x14ac:dyDescent="0.45"/>
  <cols>
    <col min="2" max="2" width="21" bestFit="1" customWidth="1"/>
    <col min="3" max="3" width="8.59765625" bestFit="1" customWidth="1"/>
    <col min="4" max="4" width="6.3984375" bestFit="1" customWidth="1"/>
    <col min="5" max="5" width="20.1328125" bestFit="1" customWidth="1"/>
    <col min="6" max="6" width="8.73046875" bestFit="1" customWidth="1"/>
    <col min="7" max="7" width="43" bestFit="1" customWidth="1"/>
    <col min="8" max="8" width="10" bestFit="1" customWidth="1"/>
    <col min="9" max="9" width="11.3984375" bestFit="1" customWidth="1"/>
    <col min="10" max="10" width="15.59765625" bestFit="1" customWidth="1"/>
    <col min="11" max="11" width="21.59765625" bestFit="1" customWidth="1"/>
    <col min="12" max="12" width="22.73046875" bestFit="1" customWidth="1"/>
    <col min="13" max="13" width="10.73046875" bestFit="1" customWidth="1"/>
    <col min="14" max="14" width="14.59765625" bestFit="1" customWidth="1"/>
    <col min="15" max="15" width="14.59765625" customWidth="1"/>
    <col min="16" max="16" width="19.1328125" bestFit="1" customWidth="1"/>
  </cols>
  <sheetData>
    <row r="1" spans="1:16" x14ac:dyDescent="0.45">
      <c r="A1" s="10" t="s">
        <v>27</v>
      </c>
      <c r="B1" s="10" t="s">
        <v>28</v>
      </c>
      <c r="C1" s="13" t="s">
        <v>14</v>
      </c>
      <c r="D1" s="10" t="s">
        <v>15</v>
      </c>
      <c r="E1" s="14" t="s">
        <v>31</v>
      </c>
      <c r="F1" s="10" t="s">
        <v>17</v>
      </c>
      <c r="G1" s="10" t="s">
        <v>18</v>
      </c>
      <c r="H1" s="10" t="s">
        <v>20</v>
      </c>
      <c r="I1" s="10" t="s">
        <v>21</v>
      </c>
      <c r="J1" s="10" t="s">
        <v>25</v>
      </c>
      <c r="K1" s="28" t="s">
        <v>22</v>
      </c>
      <c r="L1" s="11" t="s">
        <v>130</v>
      </c>
      <c r="M1" s="27" t="s">
        <v>680</v>
      </c>
      <c r="N1" s="27" t="s">
        <v>159</v>
      </c>
      <c r="O1" s="14" t="s">
        <v>160</v>
      </c>
      <c r="P1" s="14" t="s">
        <v>238</v>
      </c>
    </row>
    <row r="2" spans="1:16" x14ac:dyDescent="0.45">
      <c r="A2" s="5">
        <v>13109527</v>
      </c>
      <c r="B2" s="5" t="s">
        <v>793</v>
      </c>
      <c r="C2" s="16" t="s">
        <v>0</v>
      </c>
      <c r="D2" s="2" t="s">
        <v>681</v>
      </c>
      <c r="E2" s="2" t="s">
        <v>682</v>
      </c>
      <c r="F2" s="2" t="s">
        <v>468</v>
      </c>
      <c r="G2" s="2" t="s">
        <v>469</v>
      </c>
      <c r="H2" s="2" t="s">
        <v>683</v>
      </c>
      <c r="I2" s="3">
        <v>46376</v>
      </c>
      <c r="J2" s="29" t="s">
        <v>684</v>
      </c>
      <c r="K2" s="30" t="s">
        <v>13</v>
      </c>
      <c r="L2" s="4">
        <v>25</v>
      </c>
      <c r="M2" s="31" t="s">
        <v>132</v>
      </c>
      <c r="N2" s="45">
        <v>1</v>
      </c>
      <c r="O2" s="17" t="s">
        <v>168</v>
      </c>
      <c r="P2" s="4" t="s">
        <v>237</v>
      </c>
    </row>
    <row r="3" spans="1:16" x14ac:dyDescent="0.45">
      <c r="A3" s="5">
        <v>13109527</v>
      </c>
      <c r="B3" s="5" t="s">
        <v>793</v>
      </c>
      <c r="C3" s="16" t="s">
        <v>0</v>
      </c>
      <c r="D3" s="2" t="s">
        <v>681</v>
      </c>
      <c r="E3" s="2" t="s">
        <v>682</v>
      </c>
      <c r="F3" s="2" t="s">
        <v>685</v>
      </c>
      <c r="G3" s="2" t="s">
        <v>686</v>
      </c>
      <c r="H3" s="2" t="s">
        <v>687</v>
      </c>
      <c r="I3" s="3">
        <v>46810</v>
      </c>
      <c r="J3" s="29" t="s">
        <v>684</v>
      </c>
      <c r="K3" s="30" t="s">
        <v>13</v>
      </c>
      <c r="L3" s="4">
        <v>38</v>
      </c>
      <c r="M3" s="31" t="s">
        <v>132</v>
      </c>
      <c r="N3" s="46"/>
      <c r="O3" s="17" t="s">
        <v>168</v>
      </c>
      <c r="P3" s="4" t="s">
        <v>237</v>
      </c>
    </row>
    <row r="4" spans="1:16" x14ac:dyDescent="0.45">
      <c r="A4" s="5">
        <v>13109527</v>
      </c>
      <c r="B4" s="5" t="s">
        <v>793</v>
      </c>
      <c r="C4" s="16" t="s">
        <v>0</v>
      </c>
      <c r="D4" s="2" t="s">
        <v>681</v>
      </c>
      <c r="E4" s="2" t="s">
        <v>682</v>
      </c>
      <c r="F4" s="2" t="s">
        <v>688</v>
      </c>
      <c r="G4" s="2" t="s">
        <v>689</v>
      </c>
      <c r="H4" s="2" t="s">
        <v>690</v>
      </c>
      <c r="I4" s="3">
        <v>46549</v>
      </c>
      <c r="J4" s="29" t="s">
        <v>684</v>
      </c>
      <c r="K4" s="30" t="s">
        <v>13</v>
      </c>
      <c r="L4" s="4">
        <v>20</v>
      </c>
      <c r="M4" s="31" t="s">
        <v>133</v>
      </c>
      <c r="N4" s="45">
        <v>2</v>
      </c>
      <c r="O4" s="17" t="s">
        <v>168</v>
      </c>
      <c r="P4" s="4" t="s">
        <v>237</v>
      </c>
    </row>
    <row r="5" spans="1:16" x14ac:dyDescent="0.45">
      <c r="A5" s="5">
        <v>13109527</v>
      </c>
      <c r="B5" s="5" t="s">
        <v>793</v>
      </c>
      <c r="C5" s="16" t="s">
        <v>0</v>
      </c>
      <c r="D5" s="2" t="s">
        <v>681</v>
      </c>
      <c r="E5" s="2" t="s">
        <v>682</v>
      </c>
      <c r="F5" s="2" t="s">
        <v>688</v>
      </c>
      <c r="G5" s="2" t="s">
        <v>689</v>
      </c>
      <c r="H5" s="2" t="s">
        <v>691</v>
      </c>
      <c r="I5" s="3">
        <v>46719</v>
      </c>
      <c r="J5" s="29" t="s">
        <v>684</v>
      </c>
      <c r="K5" s="30" t="s">
        <v>13</v>
      </c>
      <c r="L5" s="4">
        <v>43</v>
      </c>
      <c r="M5" s="31" t="s">
        <v>133</v>
      </c>
      <c r="N5" s="46"/>
      <c r="O5" s="17" t="s">
        <v>168</v>
      </c>
      <c r="P5" s="4" t="s">
        <v>237</v>
      </c>
    </row>
    <row r="6" spans="1:16" x14ac:dyDescent="0.45">
      <c r="A6" s="5">
        <v>13109527</v>
      </c>
      <c r="B6" s="5" t="s">
        <v>793</v>
      </c>
      <c r="C6" s="16" t="s">
        <v>0</v>
      </c>
      <c r="D6" s="2" t="s">
        <v>681</v>
      </c>
      <c r="E6" s="2" t="s">
        <v>682</v>
      </c>
      <c r="F6" s="2" t="s">
        <v>692</v>
      </c>
      <c r="G6" s="2" t="s">
        <v>693</v>
      </c>
      <c r="H6" s="2" t="s">
        <v>694</v>
      </c>
      <c r="I6" s="3">
        <v>46804</v>
      </c>
      <c r="J6" s="29" t="s">
        <v>684</v>
      </c>
      <c r="K6" s="30" t="s">
        <v>13</v>
      </c>
      <c r="L6" s="4">
        <v>38</v>
      </c>
      <c r="M6" s="31" t="s">
        <v>134</v>
      </c>
      <c r="N6" s="45">
        <v>3</v>
      </c>
      <c r="O6" s="17" t="s">
        <v>168</v>
      </c>
      <c r="P6" s="4" t="s">
        <v>237</v>
      </c>
    </row>
    <row r="7" spans="1:16" x14ac:dyDescent="0.45">
      <c r="A7" s="5">
        <v>13109527</v>
      </c>
      <c r="B7" s="5" t="s">
        <v>793</v>
      </c>
      <c r="C7" s="16" t="s">
        <v>0</v>
      </c>
      <c r="D7" s="2" t="s">
        <v>681</v>
      </c>
      <c r="E7" s="2" t="s">
        <v>682</v>
      </c>
      <c r="F7" s="2" t="s">
        <v>692</v>
      </c>
      <c r="G7" s="2" t="s">
        <v>693</v>
      </c>
      <c r="H7" s="2" t="s">
        <v>695</v>
      </c>
      <c r="I7" s="3">
        <v>46846</v>
      </c>
      <c r="J7" s="29" t="s">
        <v>684</v>
      </c>
      <c r="K7" s="30" t="s">
        <v>13</v>
      </c>
      <c r="L7" s="4">
        <v>28</v>
      </c>
      <c r="M7" s="31" t="s">
        <v>134</v>
      </c>
      <c r="N7" s="46"/>
      <c r="O7" s="17" t="s">
        <v>168</v>
      </c>
      <c r="P7" s="4" t="s">
        <v>237</v>
      </c>
    </row>
    <row r="8" spans="1:16" x14ac:dyDescent="0.45">
      <c r="A8" s="5">
        <v>13109527</v>
      </c>
      <c r="B8" s="5" t="s">
        <v>793</v>
      </c>
      <c r="C8" s="16" t="s">
        <v>0</v>
      </c>
      <c r="D8" s="2" t="s">
        <v>681</v>
      </c>
      <c r="E8" s="2" t="s">
        <v>682</v>
      </c>
      <c r="F8" s="2" t="s">
        <v>692</v>
      </c>
      <c r="G8" s="2" t="s">
        <v>693</v>
      </c>
      <c r="H8" s="2" t="s">
        <v>696</v>
      </c>
      <c r="I8" s="3">
        <v>46881</v>
      </c>
      <c r="J8" s="29" t="s">
        <v>684</v>
      </c>
      <c r="K8" s="30" t="s">
        <v>13</v>
      </c>
      <c r="L8" s="4">
        <v>15</v>
      </c>
      <c r="M8" s="31" t="s">
        <v>135</v>
      </c>
      <c r="N8" s="45">
        <v>4</v>
      </c>
      <c r="O8" s="17" t="s">
        <v>168</v>
      </c>
      <c r="P8" s="4" t="s">
        <v>237</v>
      </c>
    </row>
    <row r="9" spans="1:16" x14ac:dyDescent="0.45">
      <c r="A9" s="5">
        <v>13109527</v>
      </c>
      <c r="B9" s="5" t="s">
        <v>793</v>
      </c>
      <c r="C9" s="16" t="s">
        <v>0</v>
      </c>
      <c r="D9" s="2" t="s">
        <v>681</v>
      </c>
      <c r="E9" s="2" t="s">
        <v>682</v>
      </c>
      <c r="F9" s="2" t="s">
        <v>697</v>
      </c>
      <c r="G9" s="2" t="s">
        <v>698</v>
      </c>
      <c r="H9" s="2" t="s">
        <v>699</v>
      </c>
      <c r="I9" s="3">
        <v>46890</v>
      </c>
      <c r="J9" s="29" t="s">
        <v>684</v>
      </c>
      <c r="K9" s="30" t="s">
        <v>13</v>
      </c>
      <c r="L9" s="4">
        <v>33</v>
      </c>
      <c r="M9" s="31" t="s">
        <v>135</v>
      </c>
      <c r="N9" s="46"/>
      <c r="O9" s="17" t="s">
        <v>168</v>
      </c>
      <c r="P9" s="4" t="s">
        <v>237</v>
      </c>
    </row>
    <row r="10" spans="1:16" x14ac:dyDescent="0.45">
      <c r="A10" s="5">
        <v>13109527</v>
      </c>
      <c r="B10" s="5" t="s">
        <v>793</v>
      </c>
      <c r="C10" s="16" t="s">
        <v>0</v>
      </c>
      <c r="D10" s="2" t="s">
        <v>681</v>
      </c>
      <c r="E10" s="2" t="s">
        <v>682</v>
      </c>
      <c r="F10" s="2" t="s">
        <v>700</v>
      </c>
      <c r="G10" s="2" t="s">
        <v>701</v>
      </c>
      <c r="H10" s="2" t="s">
        <v>702</v>
      </c>
      <c r="I10" s="3">
        <v>46868</v>
      </c>
      <c r="J10" s="29" t="s">
        <v>684</v>
      </c>
      <c r="K10" s="30" t="s">
        <v>13</v>
      </c>
      <c r="L10" s="4">
        <v>24</v>
      </c>
      <c r="M10" s="31" t="s">
        <v>136</v>
      </c>
      <c r="N10" s="45">
        <v>5</v>
      </c>
      <c r="O10" s="17" t="s">
        <v>168</v>
      </c>
      <c r="P10" s="4" t="s">
        <v>237</v>
      </c>
    </row>
    <row r="11" spans="1:16" x14ac:dyDescent="0.45">
      <c r="A11" s="5">
        <v>13109527</v>
      </c>
      <c r="B11" s="5" t="s">
        <v>793</v>
      </c>
      <c r="C11" s="16" t="s">
        <v>0</v>
      </c>
      <c r="D11" s="2" t="s">
        <v>681</v>
      </c>
      <c r="E11" s="2" t="s">
        <v>682</v>
      </c>
      <c r="F11" s="2" t="s">
        <v>703</v>
      </c>
      <c r="G11" s="2" t="s">
        <v>704</v>
      </c>
      <c r="H11" s="2" t="s">
        <v>705</v>
      </c>
      <c r="I11" s="3">
        <v>46602</v>
      </c>
      <c r="J11" s="29" t="s">
        <v>684</v>
      </c>
      <c r="K11" s="30" t="s">
        <v>13</v>
      </c>
      <c r="L11" s="4">
        <v>30</v>
      </c>
      <c r="M11" s="31" t="s">
        <v>136</v>
      </c>
      <c r="N11" s="46"/>
      <c r="O11" s="17" t="s">
        <v>168</v>
      </c>
      <c r="P11" s="4" t="s">
        <v>237</v>
      </c>
    </row>
    <row r="12" spans="1:16" x14ac:dyDescent="0.45">
      <c r="A12" s="5">
        <v>13109527</v>
      </c>
      <c r="B12" s="5" t="s">
        <v>793</v>
      </c>
      <c r="C12" s="16" t="s">
        <v>0</v>
      </c>
      <c r="D12" s="2" t="s">
        <v>681</v>
      </c>
      <c r="E12" s="2" t="s">
        <v>682</v>
      </c>
      <c r="F12" s="2" t="s">
        <v>706</v>
      </c>
      <c r="G12" s="2" t="s">
        <v>707</v>
      </c>
      <c r="H12" s="2" t="s">
        <v>708</v>
      </c>
      <c r="I12" s="3">
        <v>46359</v>
      </c>
      <c r="J12" s="29" t="s">
        <v>684</v>
      </c>
      <c r="K12" s="30" t="s">
        <v>13</v>
      </c>
      <c r="L12" s="4">
        <v>22</v>
      </c>
      <c r="M12" s="31" t="s">
        <v>137</v>
      </c>
      <c r="N12" s="45">
        <v>6</v>
      </c>
      <c r="O12" s="17" t="s">
        <v>168</v>
      </c>
      <c r="P12" s="4" t="s">
        <v>237</v>
      </c>
    </row>
    <row r="13" spans="1:16" x14ac:dyDescent="0.45">
      <c r="A13" s="5">
        <v>13109527</v>
      </c>
      <c r="B13" s="5" t="s">
        <v>793</v>
      </c>
      <c r="C13" s="16" t="s">
        <v>0</v>
      </c>
      <c r="D13" s="2" t="s">
        <v>681</v>
      </c>
      <c r="E13" s="2" t="s">
        <v>682</v>
      </c>
      <c r="F13" s="2" t="s">
        <v>709</v>
      </c>
      <c r="G13" s="2" t="s">
        <v>710</v>
      </c>
      <c r="H13" s="2" t="s">
        <v>711</v>
      </c>
      <c r="I13" s="3">
        <v>46516</v>
      </c>
      <c r="J13" s="29" t="s">
        <v>684</v>
      </c>
      <c r="K13" s="30" t="s">
        <v>13</v>
      </c>
      <c r="L13" s="4">
        <v>63</v>
      </c>
      <c r="M13" s="31" t="s">
        <v>137</v>
      </c>
      <c r="N13" s="47"/>
      <c r="O13" s="17" t="s">
        <v>168</v>
      </c>
      <c r="P13" s="4" t="s">
        <v>237</v>
      </c>
    </row>
    <row r="14" spans="1:16" x14ac:dyDescent="0.45">
      <c r="A14" s="5">
        <v>13109527</v>
      </c>
      <c r="B14" s="5" t="s">
        <v>793</v>
      </c>
      <c r="C14" s="16" t="s">
        <v>0</v>
      </c>
      <c r="D14" s="2" t="s">
        <v>681</v>
      </c>
      <c r="E14" s="2" t="s">
        <v>682</v>
      </c>
      <c r="F14" s="2" t="s">
        <v>712</v>
      </c>
      <c r="G14" s="2" t="s">
        <v>713</v>
      </c>
      <c r="H14" s="2" t="s">
        <v>714</v>
      </c>
      <c r="I14" s="3">
        <v>46409</v>
      </c>
      <c r="J14" s="29" t="s">
        <v>684</v>
      </c>
      <c r="K14" s="30" t="s">
        <v>13</v>
      </c>
      <c r="L14" s="4">
        <v>26</v>
      </c>
      <c r="M14" s="31" t="s">
        <v>137</v>
      </c>
      <c r="N14" s="46"/>
      <c r="O14" s="17" t="s">
        <v>168</v>
      </c>
      <c r="P14" s="4" t="s">
        <v>237</v>
      </c>
    </row>
    <row r="15" spans="1:16" x14ac:dyDescent="0.45">
      <c r="A15" s="5">
        <v>13109527</v>
      </c>
      <c r="B15" s="5" t="s">
        <v>793</v>
      </c>
      <c r="C15" s="16" t="s">
        <v>0</v>
      </c>
      <c r="D15" s="2" t="s">
        <v>681</v>
      </c>
      <c r="E15" s="2" t="s">
        <v>682</v>
      </c>
      <c r="F15" s="2" t="s">
        <v>709</v>
      </c>
      <c r="G15" s="2" t="s">
        <v>710</v>
      </c>
      <c r="H15" s="2" t="s">
        <v>715</v>
      </c>
      <c r="I15" s="3">
        <v>46334</v>
      </c>
      <c r="J15" s="29" t="s">
        <v>684</v>
      </c>
      <c r="K15" s="30" t="s">
        <v>13</v>
      </c>
      <c r="L15" s="4">
        <v>66</v>
      </c>
      <c r="M15" s="31" t="s">
        <v>138</v>
      </c>
      <c r="N15" s="45">
        <v>7</v>
      </c>
      <c r="O15" s="17" t="s">
        <v>168</v>
      </c>
      <c r="P15" s="4" t="s">
        <v>237</v>
      </c>
    </row>
    <row r="16" spans="1:16" x14ac:dyDescent="0.45">
      <c r="A16" s="5">
        <v>13109527</v>
      </c>
      <c r="B16" s="5" t="s">
        <v>793</v>
      </c>
      <c r="C16" s="16" t="s">
        <v>0</v>
      </c>
      <c r="D16" s="2" t="s">
        <v>681</v>
      </c>
      <c r="E16" s="2" t="s">
        <v>682</v>
      </c>
      <c r="F16" s="2" t="s">
        <v>716</v>
      </c>
      <c r="G16" s="2" t="s">
        <v>717</v>
      </c>
      <c r="H16" s="2" t="s">
        <v>718</v>
      </c>
      <c r="I16" s="3">
        <v>46483</v>
      </c>
      <c r="J16" s="29" t="s">
        <v>684</v>
      </c>
      <c r="K16" s="30" t="s">
        <v>13</v>
      </c>
      <c r="L16" s="4">
        <v>55</v>
      </c>
      <c r="M16" s="31" t="s">
        <v>138</v>
      </c>
      <c r="N16" s="46"/>
      <c r="O16" s="17" t="s">
        <v>168</v>
      </c>
      <c r="P16" s="4" t="s">
        <v>237</v>
      </c>
    </row>
    <row r="17" spans="1:16" x14ac:dyDescent="0.45">
      <c r="A17" s="5">
        <v>13109527</v>
      </c>
      <c r="B17" s="5" t="s">
        <v>793</v>
      </c>
      <c r="C17" s="16" t="s">
        <v>0</v>
      </c>
      <c r="D17" s="2" t="s">
        <v>681</v>
      </c>
      <c r="E17" s="2" t="s">
        <v>682</v>
      </c>
      <c r="F17" s="2" t="s">
        <v>719</v>
      </c>
      <c r="G17" s="2" t="s">
        <v>720</v>
      </c>
      <c r="H17" s="2" t="s">
        <v>721</v>
      </c>
      <c r="I17" s="3">
        <v>46460</v>
      </c>
      <c r="J17" s="29" t="s">
        <v>684</v>
      </c>
      <c r="K17" s="30" t="s">
        <v>13</v>
      </c>
      <c r="L17" s="4">
        <v>56</v>
      </c>
      <c r="M17" s="31" t="s">
        <v>139</v>
      </c>
      <c r="N17" s="45">
        <v>8</v>
      </c>
      <c r="O17" s="17" t="s">
        <v>168</v>
      </c>
      <c r="P17" s="4" t="s">
        <v>237</v>
      </c>
    </row>
    <row r="18" spans="1:16" x14ac:dyDescent="0.45">
      <c r="A18" s="5">
        <v>13109527</v>
      </c>
      <c r="B18" s="5" t="s">
        <v>793</v>
      </c>
      <c r="C18" s="16" t="s">
        <v>0</v>
      </c>
      <c r="D18" s="2" t="s">
        <v>681</v>
      </c>
      <c r="E18" s="2" t="s">
        <v>682</v>
      </c>
      <c r="F18" s="2" t="s">
        <v>719</v>
      </c>
      <c r="G18" s="2" t="s">
        <v>720</v>
      </c>
      <c r="H18" s="2" t="s">
        <v>338</v>
      </c>
      <c r="I18" s="3">
        <v>46622</v>
      </c>
      <c r="J18" s="29" t="s">
        <v>684</v>
      </c>
      <c r="K18" s="30" t="s">
        <v>13</v>
      </c>
      <c r="L18" s="4">
        <v>64</v>
      </c>
      <c r="M18" s="31" t="s">
        <v>139</v>
      </c>
      <c r="N18" s="46"/>
      <c r="O18" s="17" t="s">
        <v>168</v>
      </c>
      <c r="P18" s="4" t="s">
        <v>237</v>
      </c>
    </row>
    <row r="19" spans="1:16" x14ac:dyDescent="0.45">
      <c r="A19" s="5">
        <v>13109527</v>
      </c>
      <c r="B19" s="5" t="s">
        <v>793</v>
      </c>
      <c r="C19" s="16" t="s">
        <v>0</v>
      </c>
      <c r="D19" s="2" t="s">
        <v>681</v>
      </c>
      <c r="E19" s="2" t="s">
        <v>682</v>
      </c>
      <c r="F19" s="2" t="s">
        <v>719</v>
      </c>
      <c r="G19" s="2" t="s">
        <v>720</v>
      </c>
      <c r="H19" s="2" t="s">
        <v>722</v>
      </c>
      <c r="I19" s="3">
        <v>46662</v>
      </c>
      <c r="J19" s="29" t="s">
        <v>684</v>
      </c>
      <c r="K19" s="30" t="s">
        <v>13</v>
      </c>
      <c r="L19" s="4">
        <v>54</v>
      </c>
      <c r="M19" s="31" t="s">
        <v>140</v>
      </c>
      <c r="N19" s="45">
        <v>9</v>
      </c>
      <c r="O19" s="17" t="s">
        <v>168</v>
      </c>
      <c r="P19" s="4" t="s">
        <v>237</v>
      </c>
    </row>
    <row r="20" spans="1:16" x14ac:dyDescent="0.45">
      <c r="A20" s="5">
        <v>13109527</v>
      </c>
      <c r="B20" s="5" t="s">
        <v>793</v>
      </c>
      <c r="C20" s="16" t="s">
        <v>0</v>
      </c>
      <c r="D20" s="2" t="s">
        <v>681</v>
      </c>
      <c r="E20" s="2" t="s">
        <v>682</v>
      </c>
      <c r="F20" s="2" t="s">
        <v>723</v>
      </c>
      <c r="G20" s="2" t="s">
        <v>724</v>
      </c>
      <c r="H20" s="2" t="s">
        <v>725</v>
      </c>
      <c r="I20" s="3">
        <v>46494</v>
      </c>
      <c r="J20" s="29" t="s">
        <v>684</v>
      </c>
      <c r="K20" s="30" t="s">
        <v>13</v>
      </c>
      <c r="L20" s="4">
        <v>24</v>
      </c>
      <c r="M20" s="31" t="s">
        <v>140</v>
      </c>
      <c r="N20" s="46"/>
      <c r="O20" s="17" t="s">
        <v>168</v>
      </c>
      <c r="P20" s="4" t="s">
        <v>237</v>
      </c>
    </row>
    <row r="21" spans="1:16" x14ac:dyDescent="0.45">
      <c r="A21" s="5">
        <v>13109527</v>
      </c>
      <c r="B21" s="5" t="s">
        <v>793</v>
      </c>
      <c r="C21" s="16" t="s">
        <v>0</v>
      </c>
      <c r="D21" s="2" t="s">
        <v>681</v>
      </c>
      <c r="E21" s="2" t="s">
        <v>682</v>
      </c>
      <c r="F21" s="2" t="s">
        <v>723</v>
      </c>
      <c r="G21" s="2" t="s">
        <v>724</v>
      </c>
      <c r="H21" s="2" t="s">
        <v>726</v>
      </c>
      <c r="I21" s="3">
        <v>46525</v>
      </c>
      <c r="J21" s="29" t="s">
        <v>684</v>
      </c>
      <c r="K21" s="30" t="s">
        <v>13</v>
      </c>
      <c r="L21" s="4">
        <v>78</v>
      </c>
      <c r="M21" s="31" t="s">
        <v>141</v>
      </c>
      <c r="N21" s="45">
        <v>10</v>
      </c>
      <c r="O21" s="17" t="s">
        <v>168</v>
      </c>
      <c r="P21" s="4" t="s">
        <v>237</v>
      </c>
    </row>
    <row r="22" spans="1:16" x14ac:dyDescent="0.45">
      <c r="A22" s="5">
        <v>13109527</v>
      </c>
      <c r="B22" s="5" t="s">
        <v>793</v>
      </c>
      <c r="C22" s="16" t="s">
        <v>0</v>
      </c>
      <c r="D22" s="2" t="s">
        <v>681</v>
      </c>
      <c r="E22" s="2" t="s">
        <v>682</v>
      </c>
      <c r="F22" s="2" t="s">
        <v>723</v>
      </c>
      <c r="G22" s="2" t="s">
        <v>724</v>
      </c>
      <c r="H22" s="2" t="s">
        <v>334</v>
      </c>
      <c r="I22" s="3">
        <v>46620</v>
      </c>
      <c r="J22" s="29" t="s">
        <v>684</v>
      </c>
      <c r="K22" s="30" t="s">
        <v>13</v>
      </c>
      <c r="L22" s="4">
        <v>59</v>
      </c>
      <c r="M22" s="31" t="s">
        <v>141</v>
      </c>
      <c r="N22" s="46"/>
      <c r="O22" s="17" t="s">
        <v>168</v>
      </c>
      <c r="P22" s="4" t="s">
        <v>237</v>
      </c>
    </row>
    <row r="23" spans="1:16" x14ac:dyDescent="0.45">
      <c r="A23" s="5">
        <v>13109527</v>
      </c>
      <c r="B23" s="5" t="s">
        <v>793</v>
      </c>
      <c r="C23" s="16" t="s">
        <v>0</v>
      </c>
      <c r="D23" s="2" t="s">
        <v>681</v>
      </c>
      <c r="E23" s="2" t="s">
        <v>682</v>
      </c>
      <c r="F23" s="2" t="s">
        <v>727</v>
      </c>
      <c r="G23" s="2" t="s">
        <v>728</v>
      </c>
      <c r="H23" s="2" t="s">
        <v>729</v>
      </c>
      <c r="I23" s="3">
        <v>46484</v>
      </c>
      <c r="J23" s="29" t="s">
        <v>684</v>
      </c>
      <c r="K23" s="30" t="s">
        <v>13</v>
      </c>
      <c r="L23" s="4">
        <v>62</v>
      </c>
      <c r="M23" s="31" t="s">
        <v>142</v>
      </c>
      <c r="N23" s="45">
        <v>11</v>
      </c>
      <c r="O23" s="17" t="s">
        <v>168</v>
      </c>
      <c r="P23" s="4" t="s">
        <v>237</v>
      </c>
    </row>
    <row r="24" spans="1:16" x14ac:dyDescent="0.45">
      <c r="A24" s="5">
        <v>13109527</v>
      </c>
      <c r="B24" s="5" t="s">
        <v>793</v>
      </c>
      <c r="C24" s="16" t="s">
        <v>0</v>
      </c>
      <c r="D24" s="2" t="s">
        <v>681</v>
      </c>
      <c r="E24" s="2" t="s">
        <v>682</v>
      </c>
      <c r="F24" s="2" t="s">
        <v>727</v>
      </c>
      <c r="G24" s="2" t="s">
        <v>728</v>
      </c>
      <c r="H24" s="2" t="s">
        <v>730</v>
      </c>
      <c r="I24" s="3">
        <v>46632</v>
      </c>
      <c r="J24" s="29" t="s">
        <v>684</v>
      </c>
      <c r="K24" s="30" t="s">
        <v>13</v>
      </c>
      <c r="L24" s="4">
        <v>45</v>
      </c>
      <c r="M24" s="31" t="s">
        <v>142</v>
      </c>
      <c r="N24" s="46"/>
      <c r="O24" s="17" t="s">
        <v>168</v>
      </c>
      <c r="P24" s="4" t="s">
        <v>237</v>
      </c>
    </row>
    <row r="25" spans="1:16" x14ac:dyDescent="0.45">
      <c r="A25" s="5">
        <v>13109527</v>
      </c>
      <c r="B25" s="5" t="s">
        <v>793</v>
      </c>
      <c r="C25" s="16" t="s">
        <v>0</v>
      </c>
      <c r="D25" s="2" t="s">
        <v>681</v>
      </c>
      <c r="E25" s="2" t="s">
        <v>682</v>
      </c>
      <c r="F25" s="2" t="s">
        <v>731</v>
      </c>
      <c r="G25" s="2" t="s">
        <v>732</v>
      </c>
      <c r="H25" s="2" t="s">
        <v>733</v>
      </c>
      <c r="I25" s="3">
        <v>46424</v>
      </c>
      <c r="J25" s="29" t="s">
        <v>684</v>
      </c>
      <c r="K25" s="30" t="s">
        <v>13</v>
      </c>
      <c r="L25" s="4">
        <v>34</v>
      </c>
      <c r="M25" s="31" t="s">
        <v>144</v>
      </c>
      <c r="N25" s="45">
        <v>12</v>
      </c>
      <c r="O25" s="17" t="s">
        <v>168</v>
      </c>
      <c r="P25" s="4" t="s">
        <v>237</v>
      </c>
    </row>
    <row r="26" spans="1:16" x14ac:dyDescent="0.45">
      <c r="A26" s="5">
        <v>13109527</v>
      </c>
      <c r="B26" s="5" t="s">
        <v>793</v>
      </c>
      <c r="C26" s="16" t="s">
        <v>0</v>
      </c>
      <c r="D26" s="2" t="s">
        <v>681</v>
      </c>
      <c r="E26" s="2" t="s">
        <v>682</v>
      </c>
      <c r="F26" s="2" t="s">
        <v>731</v>
      </c>
      <c r="G26" s="2" t="s">
        <v>732</v>
      </c>
      <c r="H26" s="2" t="s">
        <v>734</v>
      </c>
      <c r="I26" s="3">
        <v>46515</v>
      </c>
      <c r="J26" s="29" t="s">
        <v>684</v>
      </c>
      <c r="K26" s="30" t="s">
        <v>13</v>
      </c>
      <c r="L26" s="4">
        <v>72</v>
      </c>
      <c r="M26" s="31" t="s">
        <v>144</v>
      </c>
      <c r="N26" s="46"/>
      <c r="O26" s="17" t="s">
        <v>168</v>
      </c>
      <c r="P26" s="4" t="s">
        <v>237</v>
      </c>
    </row>
    <row r="27" spans="1:16" x14ac:dyDescent="0.45">
      <c r="A27" s="5">
        <v>13109527</v>
      </c>
      <c r="B27" s="5" t="s">
        <v>793</v>
      </c>
      <c r="C27" s="16" t="s">
        <v>0</v>
      </c>
      <c r="D27" s="2" t="s">
        <v>681</v>
      </c>
      <c r="E27" s="2" t="s">
        <v>682</v>
      </c>
      <c r="F27" s="2" t="s">
        <v>735</v>
      </c>
      <c r="G27" s="2" t="s">
        <v>736</v>
      </c>
      <c r="H27" s="2" t="s">
        <v>737</v>
      </c>
      <c r="I27" s="3">
        <v>46825</v>
      </c>
      <c r="J27" s="29" t="s">
        <v>684</v>
      </c>
      <c r="K27" s="30" t="s">
        <v>13</v>
      </c>
      <c r="L27" s="4">
        <v>45</v>
      </c>
      <c r="M27" s="31" t="s">
        <v>146</v>
      </c>
      <c r="N27" s="45">
        <v>13</v>
      </c>
      <c r="O27" s="17" t="s">
        <v>168</v>
      </c>
      <c r="P27" s="4" t="s">
        <v>237</v>
      </c>
    </row>
    <row r="28" spans="1:16" x14ac:dyDescent="0.45">
      <c r="A28" s="5">
        <v>13109527</v>
      </c>
      <c r="B28" s="5" t="s">
        <v>793</v>
      </c>
      <c r="C28" s="16" t="s">
        <v>0</v>
      </c>
      <c r="D28" s="2" t="s">
        <v>681</v>
      </c>
      <c r="E28" s="2" t="s">
        <v>682</v>
      </c>
      <c r="F28" s="2" t="s">
        <v>735</v>
      </c>
      <c r="G28" s="2" t="s">
        <v>736</v>
      </c>
      <c r="H28" s="2" t="s">
        <v>738</v>
      </c>
      <c r="I28" s="3">
        <v>46860</v>
      </c>
      <c r="J28" s="29" t="s">
        <v>684</v>
      </c>
      <c r="K28" s="30" t="s">
        <v>13</v>
      </c>
      <c r="L28" s="4">
        <v>85</v>
      </c>
      <c r="M28" s="31" t="s">
        <v>146</v>
      </c>
      <c r="N28" s="46"/>
      <c r="O28" s="17" t="s">
        <v>168</v>
      </c>
      <c r="P28" s="4" t="s">
        <v>237</v>
      </c>
    </row>
    <row r="29" spans="1:16" x14ac:dyDescent="0.45">
      <c r="A29" s="5">
        <v>13109527</v>
      </c>
      <c r="B29" s="5" t="s">
        <v>793</v>
      </c>
      <c r="C29" s="16" t="s">
        <v>0</v>
      </c>
      <c r="D29" s="2" t="s">
        <v>681</v>
      </c>
      <c r="E29" s="2" t="s">
        <v>682</v>
      </c>
      <c r="F29" s="2" t="s">
        <v>739</v>
      </c>
      <c r="G29" s="2" t="s">
        <v>740</v>
      </c>
      <c r="H29" s="2" t="s">
        <v>741</v>
      </c>
      <c r="I29" s="3">
        <v>46679</v>
      </c>
      <c r="J29" s="29" t="s">
        <v>684</v>
      </c>
      <c r="K29" s="30" t="s">
        <v>13</v>
      </c>
      <c r="L29" s="4">
        <v>66</v>
      </c>
      <c r="M29" s="31" t="s">
        <v>147</v>
      </c>
      <c r="N29" s="45">
        <v>14</v>
      </c>
      <c r="O29" s="17" t="s">
        <v>168</v>
      </c>
      <c r="P29" s="4" t="s">
        <v>237</v>
      </c>
    </row>
    <row r="30" spans="1:16" x14ac:dyDescent="0.45">
      <c r="A30" s="5">
        <v>13109527</v>
      </c>
      <c r="B30" s="5" t="s">
        <v>793</v>
      </c>
      <c r="C30" s="16" t="s">
        <v>0</v>
      </c>
      <c r="D30" s="2" t="s">
        <v>681</v>
      </c>
      <c r="E30" s="2" t="s">
        <v>682</v>
      </c>
      <c r="F30" s="2" t="s">
        <v>739</v>
      </c>
      <c r="G30" s="2" t="s">
        <v>740</v>
      </c>
      <c r="H30" s="2" t="s">
        <v>742</v>
      </c>
      <c r="I30" s="3">
        <v>46713</v>
      </c>
      <c r="J30" s="29" t="s">
        <v>684</v>
      </c>
      <c r="K30" s="30" t="s">
        <v>13</v>
      </c>
      <c r="L30" s="4">
        <v>37</v>
      </c>
      <c r="M30" s="31" t="s">
        <v>147</v>
      </c>
      <c r="N30" s="46"/>
      <c r="O30" s="17" t="s">
        <v>168</v>
      </c>
      <c r="P30" s="4" t="s">
        <v>237</v>
      </c>
    </row>
    <row r="31" spans="1:16" x14ac:dyDescent="0.45">
      <c r="A31" s="5">
        <v>13109527</v>
      </c>
      <c r="B31" s="5" t="s">
        <v>793</v>
      </c>
      <c r="C31" s="16" t="s">
        <v>0</v>
      </c>
      <c r="D31" s="2" t="s">
        <v>681</v>
      </c>
      <c r="E31" s="2" t="s">
        <v>682</v>
      </c>
      <c r="F31" s="2" t="s">
        <v>743</v>
      </c>
      <c r="G31" s="2" t="s">
        <v>744</v>
      </c>
      <c r="H31" s="2" t="s">
        <v>745</v>
      </c>
      <c r="I31" s="3">
        <v>46682</v>
      </c>
      <c r="J31" s="29" t="s">
        <v>684</v>
      </c>
      <c r="K31" s="30" t="s">
        <v>13</v>
      </c>
      <c r="L31" s="4">
        <v>22</v>
      </c>
      <c r="M31" s="31" t="s">
        <v>148</v>
      </c>
      <c r="N31" s="45">
        <v>15</v>
      </c>
      <c r="O31" s="17" t="s">
        <v>168</v>
      </c>
      <c r="P31" s="4" t="s">
        <v>237</v>
      </c>
    </row>
    <row r="32" spans="1:16" x14ac:dyDescent="0.45">
      <c r="A32" s="5">
        <v>13109527</v>
      </c>
      <c r="B32" s="5" t="s">
        <v>793</v>
      </c>
      <c r="C32" s="16" t="s">
        <v>0</v>
      </c>
      <c r="D32" s="2" t="s">
        <v>681</v>
      </c>
      <c r="E32" s="2" t="s">
        <v>682</v>
      </c>
      <c r="F32" s="2" t="s">
        <v>743</v>
      </c>
      <c r="G32" s="2" t="s">
        <v>744</v>
      </c>
      <c r="H32" s="2" t="s">
        <v>746</v>
      </c>
      <c r="I32" s="3">
        <v>46773</v>
      </c>
      <c r="J32" s="29" t="s">
        <v>684</v>
      </c>
      <c r="K32" s="30" t="s">
        <v>13</v>
      </c>
      <c r="L32" s="4">
        <v>58</v>
      </c>
      <c r="M32" s="31" t="s">
        <v>148</v>
      </c>
      <c r="N32" s="46"/>
      <c r="O32" s="17" t="s">
        <v>168</v>
      </c>
      <c r="P32" s="4" t="s">
        <v>237</v>
      </c>
    </row>
    <row r="33" spans="1:16" x14ac:dyDescent="0.45">
      <c r="A33" s="5">
        <v>13109527</v>
      </c>
      <c r="B33" s="5" t="s">
        <v>793</v>
      </c>
      <c r="C33" s="16" t="s">
        <v>0</v>
      </c>
      <c r="D33" s="2" t="s">
        <v>681</v>
      </c>
      <c r="E33" s="2" t="s">
        <v>682</v>
      </c>
      <c r="F33" s="2" t="s">
        <v>747</v>
      </c>
      <c r="G33" s="2" t="s">
        <v>748</v>
      </c>
      <c r="H33" s="2" t="s">
        <v>749</v>
      </c>
      <c r="I33" s="3">
        <v>46678</v>
      </c>
      <c r="J33" s="29" t="s">
        <v>684</v>
      </c>
      <c r="K33" s="30" t="s">
        <v>13</v>
      </c>
      <c r="L33" s="4">
        <v>40</v>
      </c>
      <c r="M33" s="31" t="s">
        <v>149</v>
      </c>
      <c r="N33" s="45">
        <v>16</v>
      </c>
      <c r="O33" s="17" t="s">
        <v>168</v>
      </c>
      <c r="P33" s="4" t="s">
        <v>237</v>
      </c>
    </row>
    <row r="34" spans="1:16" x14ac:dyDescent="0.45">
      <c r="A34" s="5">
        <v>13109527</v>
      </c>
      <c r="B34" s="5" t="s">
        <v>793</v>
      </c>
      <c r="C34" s="16" t="s">
        <v>0</v>
      </c>
      <c r="D34" s="2" t="s">
        <v>681</v>
      </c>
      <c r="E34" s="2" t="s">
        <v>682</v>
      </c>
      <c r="F34" s="2" t="s">
        <v>747</v>
      </c>
      <c r="G34" s="2" t="s">
        <v>748</v>
      </c>
      <c r="H34" s="2" t="s">
        <v>750</v>
      </c>
      <c r="I34" s="3">
        <v>46742</v>
      </c>
      <c r="J34" s="29" t="s">
        <v>684</v>
      </c>
      <c r="K34" s="30" t="s">
        <v>13</v>
      </c>
      <c r="L34" s="4">
        <v>70</v>
      </c>
      <c r="M34" s="31" t="s">
        <v>149</v>
      </c>
      <c r="N34" s="46"/>
      <c r="O34" s="17" t="s">
        <v>168</v>
      </c>
      <c r="P34" s="4" t="s">
        <v>237</v>
      </c>
    </row>
    <row r="35" spans="1:16" x14ac:dyDescent="0.45">
      <c r="A35" s="5">
        <v>13109527</v>
      </c>
      <c r="B35" s="5" t="s">
        <v>793</v>
      </c>
      <c r="C35" s="16" t="s">
        <v>0</v>
      </c>
      <c r="D35" s="2" t="s">
        <v>681</v>
      </c>
      <c r="E35" s="2" t="s">
        <v>682</v>
      </c>
      <c r="F35" s="2" t="s">
        <v>751</v>
      </c>
      <c r="G35" s="2" t="s">
        <v>752</v>
      </c>
      <c r="H35" s="2" t="s">
        <v>753</v>
      </c>
      <c r="I35" s="3">
        <v>46686</v>
      </c>
      <c r="J35" s="29" t="s">
        <v>684</v>
      </c>
      <c r="K35" s="30" t="s">
        <v>13</v>
      </c>
      <c r="L35" s="4">
        <v>34</v>
      </c>
      <c r="M35" s="31" t="s">
        <v>150</v>
      </c>
      <c r="N35" s="45">
        <v>17</v>
      </c>
      <c r="O35" s="17" t="s">
        <v>168</v>
      </c>
      <c r="P35" s="4" t="s">
        <v>237</v>
      </c>
    </row>
    <row r="36" spans="1:16" x14ac:dyDescent="0.45">
      <c r="A36" s="5">
        <v>13109527</v>
      </c>
      <c r="B36" s="5" t="s">
        <v>793</v>
      </c>
      <c r="C36" s="16" t="s">
        <v>0</v>
      </c>
      <c r="D36" s="2" t="s">
        <v>681</v>
      </c>
      <c r="E36" s="2" t="s">
        <v>682</v>
      </c>
      <c r="F36" s="2" t="s">
        <v>751</v>
      </c>
      <c r="G36" s="2" t="s">
        <v>752</v>
      </c>
      <c r="H36" s="2" t="s">
        <v>754</v>
      </c>
      <c r="I36" s="3">
        <v>46854</v>
      </c>
      <c r="J36" s="29" t="s">
        <v>684</v>
      </c>
      <c r="K36" s="30" t="s">
        <v>13</v>
      </c>
      <c r="L36" s="4">
        <v>57</v>
      </c>
      <c r="M36" s="31" t="s">
        <v>150</v>
      </c>
      <c r="N36" s="46"/>
      <c r="O36" s="17" t="s">
        <v>168</v>
      </c>
      <c r="P36" s="4" t="s">
        <v>237</v>
      </c>
    </row>
    <row r="37" spans="1:16" x14ac:dyDescent="0.45">
      <c r="A37" s="5">
        <v>13109527</v>
      </c>
      <c r="B37" s="5" t="s">
        <v>793</v>
      </c>
      <c r="C37" s="16" t="s">
        <v>0</v>
      </c>
      <c r="D37" s="2" t="s">
        <v>681</v>
      </c>
      <c r="E37" s="2" t="s">
        <v>682</v>
      </c>
      <c r="F37" s="2" t="s">
        <v>755</v>
      </c>
      <c r="G37" s="2" t="s">
        <v>756</v>
      </c>
      <c r="H37" s="2" t="s">
        <v>757</v>
      </c>
      <c r="I37" s="3">
        <v>46851</v>
      </c>
      <c r="J37" s="29" t="s">
        <v>684</v>
      </c>
      <c r="K37" s="30" t="s">
        <v>13</v>
      </c>
      <c r="L37" s="4">
        <v>80</v>
      </c>
      <c r="M37" s="31" t="s">
        <v>151</v>
      </c>
      <c r="N37" s="45">
        <v>18</v>
      </c>
      <c r="O37" s="17" t="s">
        <v>168</v>
      </c>
      <c r="P37" s="4" t="s">
        <v>237</v>
      </c>
    </row>
    <row r="38" spans="1:16" x14ac:dyDescent="0.45">
      <c r="A38" s="5">
        <v>13109527</v>
      </c>
      <c r="B38" s="5" t="s">
        <v>793</v>
      </c>
      <c r="C38" s="16" t="s">
        <v>0</v>
      </c>
      <c r="D38" s="2" t="s">
        <v>681</v>
      </c>
      <c r="E38" s="2" t="s">
        <v>682</v>
      </c>
      <c r="F38" s="2" t="s">
        <v>755</v>
      </c>
      <c r="G38" s="2" t="s">
        <v>756</v>
      </c>
      <c r="H38" s="2" t="s">
        <v>745</v>
      </c>
      <c r="I38" s="3">
        <v>46682</v>
      </c>
      <c r="J38" s="29" t="s">
        <v>684</v>
      </c>
      <c r="K38" s="30" t="s">
        <v>13</v>
      </c>
      <c r="L38" s="4">
        <v>47</v>
      </c>
      <c r="M38" s="31" t="s">
        <v>151</v>
      </c>
      <c r="N38" s="46"/>
      <c r="O38" s="17" t="s">
        <v>168</v>
      </c>
      <c r="P38" s="4" t="s">
        <v>237</v>
      </c>
    </row>
    <row r="39" spans="1:16" x14ac:dyDescent="0.45">
      <c r="A39" s="5">
        <v>13109527</v>
      </c>
      <c r="B39" s="5" t="s">
        <v>793</v>
      </c>
      <c r="C39" s="16" t="s">
        <v>0</v>
      </c>
      <c r="D39" s="2" t="s">
        <v>681</v>
      </c>
      <c r="E39" s="2" t="s">
        <v>682</v>
      </c>
      <c r="F39" s="2" t="s">
        <v>755</v>
      </c>
      <c r="G39" s="2" t="s">
        <v>756</v>
      </c>
      <c r="H39" s="2" t="s">
        <v>758</v>
      </c>
      <c r="I39" s="3">
        <v>46742</v>
      </c>
      <c r="J39" s="29" t="s">
        <v>684</v>
      </c>
      <c r="K39" s="30" t="s">
        <v>13</v>
      </c>
      <c r="L39" s="4">
        <v>68</v>
      </c>
      <c r="M39" s="31" t="s">
        <v>152</v>
      </c>
      <c r="N39" s="45">
        <v>19</v>
      </c>
      <c r="O39" s="17" t="s">
        <v>168</v>
      </c>
      <c r="P39" s="4" t="s">
        <v>237</v>
      </c>
    </row>
    <row r="40" spans="1:16" x14ac:dyDescent="0.45">
      <c r="A40" s="5">
        <v>13109527</v>
      </c>
      <c r="B40" s="5" t="s">
        <v>793</v>
      </c>
      <c r="C40" s="16" t="s">
        <v>0</v>
      </c>
      <c r="D40" s="2" t="s">
        <v>681</v>
      </c>
      <c r="E40" s="2" t="s">
        <v>682</v>
      </c>
      <c r="F40" s="2" t="s">
        <v>755</v>
      </c>
      <c r="G40" s="2" t="s">
        <v>756</v>
      </c>
      <c r="H40" s="2" t="s">
        <v>759</v>
      </c>
      <c r="I40" s="3">
        <v>46796</v>
      </c>
      <c r="J40" s="29" t="s">
        <v>684</v>
      </c>
      <c r="K40" s="30" t="s">
        <v>13</v>
      </c>
      <c r="L40" s="4">
        <v>63</v>
      </c>
      <c r="M40" s="31" t="s">
        <v>152</v>
      </c>
      <c r="N40" s="46"/>
      <c r="O40" s="17" t="s">
        <v>168</v>
      </c>
      <c r="P40" s="4" t="s">
        <v>237</v>
      </c>
    </row>
    <row r="41" spans="1:16" x14ac:dyDescent="0.45">
      <c r="A41" s="5">
        <v>13109527</v>
      </c>
      <c r="B41" s="5" t="s">
        <v>793</v>
      </c>
      <c r="C41" s="16" t="s">
        <v>0</v>
      </c>
      <c r="D41" s="2" t="s">
        <v>681</v>
      </c>
      <c r="E41" s="2" t="s">
        <v>682</v>
      </c>
      <c r="F41" s="2" t="s">
        <v>760</v>
      </c>
      <c r="G41" s="2" t="s">
        <v>761</v>
      </c>
      <c r="H41" s="2" t="s">
        <v>762</v>
      </c>
      <c r="I41" s="3">
        <v>46352</v>
      </c>
      <c r="J41" s="29" t="s">
        <v>684</v>
      </c>
      <c r="K41" s="30" t="s">
        <v>13</v>
      </c>
      <c r="L41" s="4">
        <v>19</v>
      </c>
      <c r="M41" s="31" t="s">
        <v>153</v>
      </c>
      <c r="N41" s="45">
        <v>20</v>
      </c>
      <c r="O41" s="17" t="s">
        <v>168</v>
      </c>
      <c r="P41" s="4" t="s">
        <v>237</v>
      </c>
    </row>
    <row r="42" spans="1:16" x14ac:dyDescent="0.45">
      <c r="A42" s="5">
        <v>13109527</v>
      </c>
      <c r="B42" s="5" t="s">
        <v>793</v>
      </c>
      <c r="C42" s="16" t="s">
        <v>0</v>
      </c>
      <c r="D42" s="2" t="s">
        <v>681</v>
      </c>
      <c r="E42" s="2" t="s">
        <v>682</v>
      </c>
      <c r="F42" s="2" t="s">
        <v>763</v>
      </c>
      <c r="G42" s="2" t="s">
        <v>764</v>
      </c>
      <c r="H42" s="2" t="s">
        <v>765</v>
      </c>
      <c r="I42" s="3">
        <v>46819</v>
      </c>
      <c r="J42" s="29" t="s">
        <v>684</v>
      </c>
      <c r="K42" s="30" t="s">
        <v>13</v>
      </c>
      <c r="L42" s="4">
        <v>29</v>
      </c>
      <c r="M42" s="31" t="s">
        <v>153</v>
      </c>
      <c r="N42" s="47"/>
      <c r="O42" s="17" t="s">
        <v>168</v>
      </c>
      <c r="P42" s="4" t="s">
        <v>237</v>
      </c>
    </row>
    <row r="43" spans="1:16" x14ac:dyDescent="0.45">
      <c r="A43" s="5">
        <v>13109527</v>
      </c>
      <c r="B43" s="5" t="s">
        <v>793</v>
      </c>
      <c r="C43" s="16" t="s">
        <v>0</v>
      </c>
      <c r="D43" s="2" t="s">
        <v>681</v>
      </c>
      <c r="E43" s="2" t="s">
        <v>682</v>
      </c>
      <c r="F43" s="2" t="s">
        <v>766</v>
      </c>
      <c r="G43" s="2" t="s">
        <v>767</v>
      </c>
      <c r="H43" s="2" t="s">
        <v>273</v>
      </c>
      <c r="I43" s="3">
        <v>46495</v>
      </c>
      <c r="J43" s="29" t="s">
        <v>684</v>
      </c>
      <c r="K43" s="30" t="s">
        <v>13</v>
      </c>
      <c r="L43" s="4">
        <v>63</v>
      </c>
      <c r="M43" s="31" t="s">
        <v>153</v>
      </c>
      <c r="N43" s="46"/>
      <c r="O43" s="17" t="s">
        <v>168</v>
      </c>
      <c r="P43" s="4" t="s">
        <v>237</v>
      </c>
    </row>
    <row r="44" spans="1:16" x14ac:dyDescent="0.45">
      <c r="A44" s="5">
        <v>13109527</v>
      </c>
      <c r="B44" s="5" t="s">
        <v>793</v>
      </c>
      <c r="C44" s="16" t="s">
        <v>0</v>
      </c>
      <c r="D44" s="2" t="s">
        <v>681</v>
      </c>
      <c r="E44" s="2" t="s">
        <v>682</v>
      </c>
      <c r="F44" s="2" t="s">
        <v>768</v>
      </c>
      <c r="G44" s="2" t="s">
        <v>769</v>
      </c>
      <c r="H44" s="2" t="s">
        <v>726</v>
      </c>
      <c r="I44" s="3">
        <v>46525</v>
      </c>
      <c r="J44" s="29" t="s">
        <v>684</v>
      </c>
      <c r="K44" s="30" t="s">
        <v>13</v>
      </c>
      <c r="L44" s="4">
        <v>47</v>
      </c>
      <c r="M44" s="31" t="s">
        <v>154</v>
      </c>
      <c r="N44" s="45">
        <v>21</v>
      </c>
      <c r="O44" s="17" t="s">
        <v>168</v>
      </c>
      <c r="P44" s="4" t="s">
        <v>237</v>
      </c>
    </row>
    <row r="45" spans="1:16" x14ac:dyDescent="0.45">
      <c r="A45" s="5">
        <v>13109527</v>
      </c>
      <c r="B45" s="5" t="s">
        <v>793</v>
      </c>
      <c r="C45" s="16" t="s">
        <v>0</v>
      </c>
      <c r="D45" s="2" t="s">
        <v>681</v>
      </c>
      <c r="E45" s="2" t="s">
        <v>682</v>
      </c>
      <c r="F45" s="2" t="s">
        <v>770</v>
      </c>
      <c r="G45" s="2" t="s">
        <v>771</v>
      </c>
      <c r="H45" s="2" t="s">
        <v>772</v>
      </c>
      <c r="I45" s="3">
        <v>46671</v>
      </c>
      <c r="J45" s="29" t="s">
        <v>684</v>
      </c>
      <c r="K45" s="30" t="s">
        <v>13</v>
      </c>
      <c r="L45" s="4">
        <v>27</v>
      </c>
      <c r="M45" s="31" t="s">
        <v>154</v>
      </c>
      <c r="N45" s="47"/>
      <c r="O45" s="17" t="s">
        <v>168</v>
      </c>
      <c r="P45" s="4" t="s">
        <v>237</v>
      </c>
    </row>
    <row r="46" spans="1:16" x14ac:dyDescent="0.45">
      <c r="A46" s="5">
        <v>13109527</v>
      </c>
      <c r="B46" s="5" t="s">
        <v>793</v>
      </c>
      <c r="C46" s="16" t="s">
        <v>0</v>
      </c>
      <c r="D46" s="2" t="s">
        <v>681</v>
      </c>
      <c r="E46" s="2" t="s">
        <v>682</v>
      </c>
      <c r="F46" s="2" t="s">
        <v>773</v>
      </c>
      <c r="G46" s="2" t="s">
        <v>774</v>
      </c>
      <c r="H46" s="2" t="s">
        <v>775</v>
      </c>
      <c r="I46" s="3">
        <v>46752</v>
      </c>
      <c r="J46" s="29" t="s">
        <v>684</v>
      </c>
      <c r="K46" s="30" t="s">
        <v>13</v>
      </c>
      <c r="L46" s="4">
        <v>45</v>
      </c>
      <c r="M46" s="31" t="s">
        <v>154</v>
      </c>
      <c r="N46" s="46"/>
      <c r="O46" s="17" t="s">
        <v>168</v>
      </c>
      <c r="P46" s="4" t="s">
        <v>237</v>
      </c>
    </row>
    <row r="47" spans="1:16" x14ac:dyDescent="0.45">
      <c r="A47" s="5">
        <v>13109527</v>
      </c>
      <c r="B47" s="5" t="s">
        <v>793</v>
      </c>
      <c r="C47" s="16" t="s">
        <v>0</v>
      </c>
      <c r="D47" s="2" t="s">
        <v>681</v>
      </c>
      <c r="E47" s="2" t="s">
        <v>682</v>
      </c>
      <c r="F47" s="2" t="s">
        <v>776</v>
      </c>
      <c r="G47" s="2" t="s">
        <v>777</v>
      </c>
      <c r="H47" s="2" t="s">
        <v>778</v>
      </c>
      <c r="I47" s="3">
        <v>46732</v>
      </c>
      <c r="J47" s="29" t="s">
        <v>684</v>
      </c>
      <c r="K47" s="30" t="s">
        <v>13</v>
      </c>
      <c r="L47" s="4">
        <v>29</v>
      </c>
      <c r="M47" s="31" t="s">
        <v>656</v>
      </c>
      <c r="N47" s="45">
        <v>22</v>
      </c>
      <c r="O47" s="17" t="s">
        <v>168</v>
      </c>
      <c r="P47" s="4" t="s">
        <v>237</v>
      </c>
    </row>
    <row r="48" spans="1:16" x14ac:dyDescent="0.45">
      <c r="A48" s="5">
        <v>13109527</v>
      </c>
      <c r="B48" s="5" t="s">
        <v>793</v>
      </c>
      <c r="C48" s="16" t="s">
        <v>0</v>
      </c>
      <c r="D48" s="2" t="s">
        <v>681</v>
      </c>
      <c r="E48" s="2" t="s">
        <v>682</v>
      </c>
      <c r="F48" s="2" t="s">
        <v>776</v>
      </c>
      <c r="G48" s="2" t="s">
        <v>777</v>
      </c>
      <c r="H48" s="2" t="s">
        <v>779</v>
      </c>
      <c r="I48" s="3">
        <v>46857</v>
      </c>
      <c r="J48" s="29" t="s">
        <v>684</v>
      </c>
      <c r="K48" s="30" t="s">
        <v>13</v>
      </c>
      <c r="L48" s="4">
        <v>24</v>
      </c>
      <c r="M48" s="31" t="s">
        <v>656</v>
      </c>
      <c r="N48" s="47"/>
      <c r="O48" s="17" t="s">
        <v>168</v>
      </c>
      <c r="P48" s="4" t="s">
        <v>237</v>
      </c>
    </row>
    <row r="49" spans="1:16" x14ac:dyDescent="0.45">
      <c r="A49" s="5">
        <v>13109527</v>
      </c>
      <c r="B49" s="5" t="s">
        <v>793</v>
      </c>
      <c r="C49" s="16" t="s">
        <v>0</v>
      </c>
      <c r="D49" s="2" t="s">
        <v>681</v>
      </c>
      <c r="E49" s="2" t="s">
        <v>682</v>
      </c>
      <c r="F49" s="2" t="s">
        <v>780</v>
      </c>
      <c r="G49" s="2" t="s">
        <v>781</v>
      </c>
      <c r="H49" s="2" t="s">
        <v>782</v>
      </c>
      <c r="I49" s="3">
        <v>46743</v>
      </c>
      <c r="J49" s="29" t="s">
        <v>684</v>
      </c>
      <c r="K49" s="30" t="s">
        <v>13</v>
      </c>
      <c r="L49" s="4">
        <v>57</v>
      </c>
      <c r="M49" s="31" t="s">
        <v>656</v>
      </c>
      <c r="N49" s="46"/>
      <c r="O49" s="17" t="s">
        <v>168</v>
      </c>
      <c r="P49" s="4" t="s">
        <v>237</v>
      </c>
    </row>
    <row r="50" spans="1:16" x14ac:dyDescent="0.45">
      <c r="A50" s="5">
        <v>13109527</v>
      </c>
      <c r="B50" s="5" t="s">
        <v>793</v>
      </c>
      <c r="C50" s="16" t="s">
        <v>0</v>
      </c>
      <c r="D50" s="2" t="s">
        <v>681</v>
      </c>
      <c r="E50" s="2" t="s">
        <v>682</v>
      </c>
      <c r="F50" s="2" t="s">
        <v>783</v>
      </c>
      <c r="G50" s="2" t="s">
        <v>784</v>
      </c>
      <c r="H50" s="2" t="s">
        <v>785</v>
      </c>
      <c r="I50" s="3">
        <v>46890</v>
      </c>
      <c r="J50" s="29" t="s">
        <v>684</v>
      </c>
      <c r="K50" s="30" t="s">
        <v>13</v>
      </c>
      <c r="L50" s="4">
        <v>27</v>
      </c>
      <c r="M50" s="31" t="s">
        <v>661</v>
      </c>
      <c r="N50" s="45">
        <v>23</v>
      </c>
      <c r="O50" s="17" t="s">
        <v>168</v>
      </c>
      <c r="P50" s="4" t="s">
        <v>237</v>
      </c>
    </row>
    <row r="51" spans="1:16" x14ac:dyDescent="0.45">
      <c r="A51" s="5">
        <v>13109527</v>
      </c>
      <c r="B51" s="5" t="s">
        <v>793</v>
      </c>
      <c r="C51" s="16" t="s">
        <v>0</v>
      </c>
      <c r="D51" s="2" t="s">
        <v>681</v>
      </c>
      <c r="E51" s="2" t="s">
        <v>682</v>
      </c>
      <c r="F51" s="2" t="s">
        <v>786</v>
      </c>
      <c r="G51" s="2" t="s">
        <v>787</v>
      </c>
      <c r="H51" s="2" t="s">
        <v>788</v>
      </c>
      <c r="I51" s="3">
        <v>46709</v>
      </c>
      <c r="J51" s="29" t="s">
        <v>684</v>
      </c>
      <c r="K51" s="30" t="s">
        <v>13</v>
      </c>
      <c r="L51" s="4">
        <v>71</v>
      </c>
      <c r="M51" s="31" t="s">
        <v>661</v>
      </c>
      <c r="N51" s="46"/>
      <c r="O51" s="17" t="s">
        <v>168</v>
      </c>
      <c r="P51" s="4" t="s">
        <v>237</v>
      </c>
    </row>
    <row r="52" spans="1:16" x14ac:dyDescent="0.45">
      <c r="A52" s="5">
        <v>13109527</v>
      </c>
      <c r="B52" s="5" t="s">
        <v>793</v>
      </c>
      <c r="C52" s="16" t="s">
        <v>0</v>
      </c>
      <c r="D52" s="2" t="s">
        <v>681</v>
      </c>
      <c r="E52" s="2" t="s">
        <v>682</v>
      </c>
      <c r="F52" s="2" t="s">
        <v>789</v>
      </c>
      <c r="G52" s="2" t="s">
        <v>790</v>
      </c>
      <c r="H52" s="2" t="s">
        <v>791</v>
      </c>
      <c r="I52" s="3">
        <v>46297</v>
      </c>
      <c r="J52" s="29" t="s">
        <v>684</v>
      </c>
      <c r="K52" s="30" t="s">
        <v>13</v>
      </c>
      <c r="L52" s="4">
        <v>17</v>
      </c>
      <c r="M52" s="33" t="s">
        <v>668</v>
      </c>
      <c r="N52" s="39">
        <v>24</v>
      </c>
      <c r="O52" s="17" t="s">
        <v>168</v>
      </c>
      <c r="P52" s="4" t="s">
        <v>237</v>
      </c>
    </row>
    <row r="53" spans="1:16" x14ac:dyDescent="0.4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21" t="s">
        <v>792</v>
      </c>
      <c r="O53" s="21"/>
      <c r="P53" s="5"/>
    </row>
  </sheetData>
  <mergeCells count="23">
    <mergeCell ref="N12:N14"/>
    <mergeCell ref="N2:N3"/>
    <mergeCell ref="N4:N5"/>
    <mergeCell ref="N6:N7"/>
    <mergeCell ref="N8:N9"/>
    <mergeCell ref="N10:N11"/>
    <mergeCell ref="N37:N38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9:N40"/>
    <mergeCell ref="N41:N43"/>
    <mergeCell ref="N44:N46"/>
    <mergeCell ref="N47:N49"/>
    <mergeCell ref="N50:N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B828-C80F-45B1-BF02-6D469B75AD4F}">
  <dimension ref="A2:R40"/>
  <sheetViews>
    <sheetView workbookViewId="0">
      <selection activeCell="G20" sqref="G20"/>
    </sheetView>
  </sheetViews>
  <sheetFormatPr defaultRowHeight="14.25" x14ac:dyDescent="0.45"/>
  <cols>
    <col min="2" max="2" width="20.73046875" bestFit="1" customWidth="1"/>
    <col min="3" max="3" width="8.59765625" bestFit="1" customWidth="1"/>
    <col min="4" max="4" width="5.59765625" bestFit="1" customWidth="1"/>
    <col min="5" max="5" width="16.3984375" bestFit="1" customWidth="1"/>
    <col min="6" max="6" width="8.265625" bestFit="1" customWidth="1"/>
    <col min="7" max="7" width="41.86328125" bestFit="1" customWidth="1"/>
    <col min="8" max="8" width="7" bestFit="1" customWidth="1"/>
    <col min="9" max="9" width="11" bestFit="1" customWidth="1"/>
    <col min="10" max="10" width="17.265625" bestFit="1" customWidth="1"/>
    <col min="11" max="11" width="10.3984375" bestFit="1" customWidth="1"/>
    <col min="12" max="12" width="22.265625" bestFit="1" customWidth="1"/>
    <col min="13" max="13" width="8.265625" bestFit="1" customWidth="1"/>
    <col min="14" max="14" width="14.59765625" bestFit="1" customWidth="1"/>
    <col min="15" max="15" width="14.59765625" customWidth="1"/>
    <col min="16" max="16" width="15.265625" bestFit="1" customWidth="1"/>
    <col min="17" max="17" width="27.1328125" bestFit="1" customWidth="1"/>
    <col min="18" max="18" width="19.73046875" bestFit="1" customWidth="1"/>
  </cols>
  <sheetData>
    <row r="2" spans="1:18" ht="38.25" x14ac:dyDescent="0.45">
      <c r="A2" s="14" t="s">
        <v>27</v>
      </c>
      <c r="B2" s="14" t="s">
        <v>28</v>
      </c>
      <c r="C2" s="13" t="s">
        <v>14</v>
      </c>
      <c r="D2" s="14" t="s">
        <v>15</v>
      </c>
      <c r="E2" s="14" t="s">
        <v>31</v>
      </c>
      <c r="F2" s="14" t="s">
        <v>17</v>
      </c>
      <c r="G2" s="14" t="s">
        <v>18</v>
      </c>
      <c r="H2" s="14" t="s">
        <v>19</v>
      </c>
      <c r="I2" s="14" t="s">
        <v>20</v>
      </c>
      <c r="J2" s="14"/>
      <c r="K2" s="14" t="s">
        <v>21</v>
      </c>
      <c r="L2" s="14" t="s">
        <v>22</v>
      </c>
      <c r="M2" s="15" t="s">
        <v>158</v>
      </c>
      <c r="N2" s="34" t="s">
        <v>159</v>
      </c>
      <c r="O2" s="35" t="s">
        <v>159</v>
      </c>
      <c r="P2" s="14" t="s">
        <v>160</v>
      </c>
      <c r="Q2" s="14" t="s">
        <v>798</v>
      </c>
      <c r="R2" s="14" t="s">
        <v>26</v>
      </c>
    </row>
    <row r="3" spans="1:18" x14ac:dyDescent="0.45">
      <c r="A3" s="5">
        <v>13112343</v>
      </c>
      <c r="B3" s="5" t="s">
        <v>797</v>
      </c>
      <c r="C3" s="16" t="s">
        <v>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165</v>
      </c>
      <c r="I3" s="2" t="s">
        <v>166</v>
      </c>
      <c r="J3" s="2" t="str">
        <f>F3&amp;I3</f>
        <v>114595240808116</v>
      </c>
      <c r="K3" s="3">
        <v>46242</v>
      </c>
      <c r="L3" s="3" t="s">
        <v>167</v>
      </c>
      <c r="M3" s="4">
        <v>19</v>
      </c>
      <c r="N3" s="44" t="s">
        <v>132</v>
      </c>
      <c r="O3" s="43">
        <v>1</v>
      </c>
      <c r="P3" s="17" t="s">
        <v>168</v>
      </c>
      <c r="Q3" s="18" t="s">
        <v>676</v>
      </c>
      <c r="R3" s="4" t="s">
        <v>237</v>
      </c>
    </row>
    <row r="4" spans="1:18" x14ac:dyDescent="0.45">
      <c r="A4" s="5">
        <v>13112343</v>
      </c>
      <c r="B4" s="5" t="s">
        <v>797</v>
      </c>
      <c r="C4" s="16" t="s">
        <v>0</v>
      </c>
      <c r="D4" s="2" t="s">
        <v>161</v>
      </c>
      <c r="E4" s="2" t="s">
        <v>162</v>
      </c>
      <c r="F4" s="2" t="s">
        <v>169</v>
      </c>
      <c r="G4" s="2" t="s">
        <v>170</v>
      </c>
      <c r="H4" s="2" t="s">
        <v>171</v>
      </c>
      <c r="I4" s="2" t="s">
        <v>172</v>
      </c>
      <c r="J4" s="2" t="str">
        <f t="shared" ref="J4:J39" si="0">F4&amp;I4</f>
        <v>1136120002300391</v>
      </c>
      <c r="K4" s="3">
        <v>46320</v>
      </c>
      <c r="L4" s="3" t="s">
        <v>4</v>
      </c>
      <c r="M4" s="4">
        <v>9</v>
      </c>
      <c r="N4" s="44"/>
      <c r="O4" s="43"/>
      <c r="P4" s="17" t="s">
        <v>168</v>
      </c>
      <c r="Q4" s="18" t="s">
        <v>676</v>
      </c>
      <c r="R4" s="4" t="s">
        <v>237</v>
      </c>
    </row>
    <row r="5" spans="1:18" x14ac:dyDescent="0.45">
      <c r="A5" s="5">
        <v>13112343</v>
      </c>
      <c r="B5" s="5" t="s">
        <v>797</v>
      </c>
      <c r="C5" s="16" t="s">
        <v>0</v>
      </c>
      <c r="D5" s="2" t="s">
        <v>161</v>
      </c>
      <c r="E5" s="2" t="s">
        <v>162</v>
      </c>
      <c r="F5" s="2" t="s">
        <v>173</v>
      </c>
      <c r="G5" s="2" t="s">
        <v>174</v>
      </c>
      <c r="H5" s="2" t="s">
        <v>171</v>
      </c>
      <c r="I5" s="2" t="s">
        <v>175</v>
      </c>
      <c r="J5" s="2" t="str">
        <f t="shared" si="0"/>
        <v>1128580002293653</v>
      </c>
      <c r="K5" s="3">
        <v>46325</v>
      </c>
      <c r="L5" s="3" t="s">
        <v>4</v>
      </c>
      <c r="M5" s="4">
        <v>8</v>
      </c>
      <c r="N5" s="44"/>
      <c r="O5" s="43"/>
      <c r="P5" s="17" t="s">
        <v>168</v>
      </c>
      <c r="Q5" s="18" t="s">
        <v>676</v>
      </c>
      <c r="R5" s="4" t="s">
        <v>237</v>
      </c>
    </row>
    <row r="6" spans="1:18" x14ac:dyDescent="0.45">
      <c r="A6" s="5">
        <v>13112343</v>
      </c>
      <c r="B6" s="5" t="s">
        <v>797</v>
      </c>
      <c r="C6" s="16" t="s">
        <v>0</v>
      </c>
      <c r="D6" s="2" t="s">
        <v>161</v>
      </c>
      <c r="E6" s="2" t="s">
        <v>162</v>
      </c>
      <c r="F6" s="2" t="s">
        <v>163</v>
      </c>
      <c r="G6" s="2" t="s">
        <v>164</v>
      </c>
      <c r="H6" s="2" t="s">
        <v>165</v>
      </c>
      <c r="I6" s="2" t="s">
        <v>176</v>
      </c>
      <c r="J6" s="2" t="str">
        <f t="shared" si="0"/>
        <v>114595241213116</v>
      </c>
      <c r="K6" s="3">
        <v>46369</v>
      </c>
      <c r="L6" s="3" t="s">
        <v>167</v>
      </c>
      <c r="M6" s="4">
        <v>5</v>
      </c>
      <c r="N6" s="44"/>
      <c r="O6" s="43"/>
      <c r="P6" s="17" t="s">
        <v>168</v>
      </c>
      <c r="Q6" s="18" t="s">
        <v>676</v>
      </c>
      <c r="R6" s="4" t="s">
        <v>237</v>
      </c>
    </row>
    <row r="7" spans="1:18" x14ac:dyDescent="0.45">
      <c r="A7" s="5">
        <v>13112343</v>
      </c>
      <c r="B7" s="5" t="s">
        <v>797</v>
      </c>
      <c r="C7" s="16" t="s">
        <v>0</v>
      </c>
      <c r="D7" s="2" t="s">
        <v>161</v>
      </c>
      <c r="E7" s="2" t="s">
        <v>162</v>
      </c>
      <c r="F7" s="2" t="s">
        <v>177</v>
      </c>
      <c r="G7" s="2" t="s">
        <v>178</v>
      </c>
      <c r="H7" s="2" t="s">
        <v>165</v>
      </c>
      <c r="I7" s="2" t="s">
        <v>179</v>
      </c>
      <c r="J7" s="2" t="str">
        <f t="shared" si="0"/>
        <v>116428250109116</v>
      </c>
      <c r="K7" s="3">
        <v>46396</v>
      </c>
      <c r="L7" s="3" t="s">
        <v>167</v>
      </c>
      <c r="M7" s="19">
        <v>1</v>
      </c>
      <c r="N7" s="44"/>
      <c r="O7" s="43"/>
      <c r="P7" s="17" t="s">
        <v>168</v>
      </c>
      <c r="Q7" s="18" t="s">
        <v>679</v>
      </c>
      <c r="R7" s="4" t="s">
        <v>237</v>
      </c>
    </row>
    <row r="8" spans="1:18" x14ac:dyDescent="0.45">
      <c r="A8" s="5">
        <v>13112343</v>
      </c>
      <c r="B8" s="5" t="s">
        <v>797</v>
      </c>
      <c r="C8" s="16" t="s">
        <v>0</v>
      </c>
      <c r="D8" s="2" t="s">
        <v>161</v>
      </c>
      <c r="E8" s="2" t="s">
        <v>162</v>
      </c>
      <c r="F8" s="2" t="s">
        <v>180</v>
      </c>
      <c r="G8" s="2" t="s">
        <v>181</v>
      </c>
      <c r="H8" s="2" t="s">
        <v>165</v>
      </c>
      <c r="I8" s="2" t="s">
        <v>182</v>
      </c>
      <c r="J8" s="2" t="str">
        <f t="shared" si="0"/>
        <v>114350250125116</v>
      </c>
      <c r="K8" s="3">
        <v>46412</v>
      </c>
      <c r="L8" s="3" t="s">
        <v>167</v>
      </c>
      <c r="M8" s="4">
        <v>8</v>
      </c>
      <c r="N8" s="44" t="s">
        <v>133</v>
      </c>
      <c r="O8" s="43">
        <v>2</v>
      </c>
      <c r="P8" s="17" t="s">
        <v>168</v>
      </c>
      <c r="Q8" s="18" t="s">
        <v>676</v>
      </c>
      <c r="R8" s="4" t="s">
        <v>237</v>
      </c>
    </row>
    <row r="9" spans="1:18" x14ac:dyDescent="0.45">
      <c r="A9" s="5">
        <v>13112343</v>
      </c>
      <c r="B9" s="5" t="s">
        <v>797</v>
      </c>
      <c r="C9" s="16" t="s">
        <v>0</v>
      </c>
      <c r="D9" s="2" t="s">
        <v>161</v>
      </c>
      <c r="E9" s="2" t="s">
        <v>162</v>
      </c>
      <c r="F9" s="2" t="s">
        <v>183</v>
      </c>
      <c r="G9" s="2" t="s">
        <v>184</v>
      </c>
      <c r="H9" s="2" t="s">
        <v>165</v>
      </c>
      <c r="I9" s="2" t="s">
        <v>185</v>
      </c>
      <c r="J9" s="2" t="str">
        <f t="shared" si="0"/>
        <v>116501250130116</v>
      </c>
      <c r="K9" s="3">
        <v>46417</v>
      </c>
      <c r="L9" s="3" t="s">
        <v>167</v>
      </c>
      <c r="M9" s="4">
        <v>8</v>
      </c>
      <c r="N9" s="44"/>
      <c r="O9" s="43"/>
      <c r="P9" s="17" t="s">
        <v>168</v>
      </c>
      <c r="Q9" s="18" t="s">
        <v>676</v>
      </c>
      <c r="R9" s="4" t="s">
        <v>237</v>
      </c>
    </row>
    <row r="10" spans="1:18" x14ac:dyDescent="0.45">
      <c r="A10" s="5">
        <v>13112343</v>
      </c>
      <c r="B10" s="5" t="s">
        <v>797</v>
      </c>
      <c r="C10" s="16" t="s">
        <v>0</v>
      </c>
      <c r="D10" s="2" t="s">
        <v>161</v>
      </c>
      <c r="E10" s="2" t="s">
        <v>162</v>
      </c>
      <c r="F10" s="2" t="s">
        <v>183</v>
      </c>
      <c r="G10" s="2" t="s">
        <v>184</v>
      </c>
      <c r="H10" s="2" t="s">
        <v>165</v>
      </c>
      <c r="I10" s="2" t="s">
        <v>186</v>
      </c>
      <c r="J10" s="2" t="str">
        <f t="shared" si="0"/>
        <v>116501250409116</v>
      </c>
      <c r="K10" s="3">
        <v>46486</v>
      </c>
      <c r="L10" s="3" t="s">
        <v>167</v>
      </c>
      <c r="M10" s="4">
        <v>16</v>
      </c>
      <c r="N10" s="44"/>
      <c r="O10" s="43"/>
      <c r="P10" s="17" t="s">
        <v>168</v>
      </c>
      <c r="Q10" s="18" t="s">
        <v>677</v>
      </c>
      <c r="R10" s="4" t="s">
        <v>237</v>
      </c>
    </row>
    <row r="11" spans="1:18" x14ac:dyDescent="0.45">
      <c r="A11" s="5">
        <v>13112343</v>
      </c>
      <c r="B11" s="5" t="s">
        <v>797</v>
      </c>
      <c r="C11" s="16" t="s">
        <v>0</v>
      </c>
      <c r="D11" s="2" t="s">
        <v>161</v>
      </c>
      <c r="E11" s="2" t="s">
        <v>162</v>
      </c>
      <c r="F11" s="2" t="s">
        <v>187</v>
      </c>
      <c r="G11" s="2" t="s">
        <v>188</v>
      </c>
      <c r="H11" s="2" t="s">
        <v>165</v>
      </c>
      <c r="I11" s="2" t="s">
        <v>189</v>
      </c>
      <c r="J11" s="2" t="str">
        <f t="shared" si="0"/>
        <v>117477250817116</v>
      </c>
      <c r="K11" s="3">
        <v>46616</v>
      </c>
      <c r="L11" s="3" t="s">
        <v>167</v>
      </c>
      <c r="M11" s="4">
        <v>25</v>
      </c>
      <c r="N11" s="44"/>
      <c r="O11" s="43"/>
      <c r="P11" s="17" t="s">
        <v>168</v>
      </c>
      <c r="Q11" s="18" t="s">
        <v>677</v>
      </c>
      <c r="R11" s="4" t="s">
        <v>237</v>
      </c>
    </row>
    <row r="12" spans="1:18" x14ac:dyDescent="0.45">
      <c r="A12" s="5">
        <v>13112343</v>
      </c>
      <c r="B12" s="5" t="s">
        <v>797</v>
      </c>
      <c r="C12" s="16" t="s">
        <v>0</v>
      </c>
      <c r="D12" s="2" t="s">
        <v>161</v>
      </c>
      <c r="E12" s="2" t="s">
        <v>162</v>
      </c>
      <c r="F12" s="2" t="s">
        <v>173</v>
      </c>
      <c r="G12" s="2" t="s">
        <v>174</v>
      </c>
      <c r="H12" s="2" t="s">
        <v>171</v>
      </c>
      <c r="I12" s="2" t="s">
        <v>190</v>
      </c>
      <c r="J12" s="2" t="str">
        <f t="shared" si="0"/>
        <v>112858250624116</v>
      </c>
      <c r="K12" s="3">
        <v>46562</v>
      </c>
      <c r="L12" s="3" t="s">
        <v>167</v>
      </c>
      <c r="M12" s="4">
        <v>14</v>
      </c>
      <c r="N12" s="44" t="s">
        <v>134</v>
      </c>
      <c r="O12" s="43">
        <v>3</v>
      </c>
      <c r="P12" s="17" t="s">
        <v>168</v>
      </c>
      <c r="Q12" s="18" t="s">
        <v>677</v>
      </c>
      <c r="R12" s="4" t="s">
        <v>237</v>
      </c>
    </row>
    <row r="13" spans="1:18" x14ac:dyDescent="0.45">
      <c r="A13" s="5">
        <v>13112343</v>
      </c>
      <c r="B13" s="5" t="s">
        <v>797</v>
      </c>
      <c r="C13" s="16" t="s">
        <v>0</v>
      </c>
      <c r="D13" s="2" t="s">
        <v>161</v>
      </c>
      <c r="E13" s="2" t="s">
        <v>162</v>
      </c>
      <c r="F13" s="2" t="s">
        <v>191</v>
      </c>
      <c r="G13" s="2" t="s">
        <v>192</v>
      </c>
      <c r="H13" s="2" t="s">
        <v>171</v>
      </c>
      <c r="I13" s="2" t="s">
        <v>193</v>
      </c>
      <c r="J13" s="2" t="str">
        <f t="shared" si="0"/>
        <v>103087251127116</v>
      </c>
      <c r="K13" s="3">
        <v>46718</v>
      </c>
      <c r="L13" s="3" t="s">
        <v>167</v>
      </c>
      <c r="M13" s="4">
        <v>2</v>
      </c>
      <c r="N13" s="44"/>
      <c r="O13" s="43"/>
      <c r="P13" s="17" t="s">
        <v>168</v>
      </c>
      <c r="Q13" s="18" t="s">
        <v>676</v>
      </c>
      <c r="R13" s="4" t="s">
        <v>237</v>
      </c>
    </row>
    <row r="14" spans="1:18" x14ac:dyDescent="0.45">
      <c r="A14" s="5">
        <v>13112343</v>
      </c>
      <c r="B14" s="5" t="s">
        <v>797</v>
      </c>
      <c r="C14" s="16" t="s">
        <v>0</v>
      </c>
      <c r="D14" s="2" t="s">
        <v>161</v>
      </c>
      <c r="E14" s="2" t="s">
        <v>162</v>
      </c>
      <c r="F14" s="2" t="s">
        <v>191</v>
      </c>
      <c r="G14" s="2" t="s">
        <v>192</v>
      </c>
      <c r="H14" s="2" t="s">
        <v>171</v>
      </c>
      <c r="I14" s="2" t="s">
        <v>194</v>
      </c>
      <c r="J14" s="2" t="str">
        <f t="shared" si="0"/>
        <v>103087260122116</v>
      </c>
      <c r="K14" s="3">
        <v>46774</v>
      </c>
      <c r="L14" s="3" t="s">
        <v>167</v>
      </c>
      <c r="M14" s="4">
        <v>18</v>
      </c>
      <c r="N14" s="44"/>
      <c r="O14" s="43"/>
      <c r="P14" s="17" t="s">
        <v>168</v>
      </c>
      <c r="Q14" s="18" t="s">
        <v>676</v>
      </c>
      <c r="R14" s="4" t="s">
        <v>237</v>
      </c>
    </row>
    <row r="15" spans="1:18" x14ac:dyDescent="0.45">
      <c r="A15" s="5">
        <v>13112343</v>
      </c>
      <c r="B15" s="5" t="s">
        <v>797</v>
      </c>
      <c r="C15" s="16" t="s">
        <v>0</v>
      </c>
      <c r="D15" s="2" t="s">
        <v>161</v>
      </c>
      <c r="E15" s="2" t="s">
        <v>162</v>
      </c>
      <c r="F15" s="2" t="s">
        <v>195</v>
      </c>
      <c r="G15" s="2" t="s">
        <v>196</v>
      </c>
      <c r="H15" s="2" t="s">
        <v>171</v>
      </c>
      <c r="I15" s="2" t="s">
        <v>197</v>
      </c>
      <c r="J15" s="2" t="str">
        <f t="shared" si="0"/>
        <v>109934260129116</v>
      </c>
      <c r="K15" s="3">
        <v>46781</v>
      </c>
      <c r="L15" s="3" t="s">
        <v>167</v>
      </c>
      <c r="M15" s="4">
        <v>10</v>
      </c>
      <c r="N15" s="44"/>
      <c r="O15" s="43"/>
      <c r="P15" s="17" t="s">
        <v>168</v>
      </c>
      <c r="Q15" s="18" t="s">
        <v>676</v>
      </c>
      <c r="R15" s="4" t="s">
        <v>237</v>
      </c>
    </row>
    <row r="16" spans="1:18" x14ac:dyDescent="0.45">
      <c r="A16" s="5">
        <v>13112343</v>
      </c>
      <c r="B16" s="5" t="s">
        <v>797</v>
      </c>
      <c r="C16" s="16" t="s">
        <v>0</v>
      </c>
      <c r="D16" s="2" t="s">
        <v>161</v>
      </c>
      <c r="E16" s="2" t="s">
        <v>162</v>
      </c>
      <c r="F16" s="2" t="s">
        <v>198</v>
      </c>
      <c r="G16" s="2" t="s">
        <v>199</v>
      </c>
      <c r="H16" s="2" t="s">
        <v>165</v>
      </c>
      <c r="I16" s="2" t="s">
        <v>200</v>
      </c>
      <c r="J16" s="2" t="str">
        <f t="shared" si="0"/>
        <v>115097250827116</v>
      </c>
      <c r="K16" s="3">
        <v>46626</v>
      </c>
      <c r="L16" s="3" t="s">
        <v>167</v>
      </c>
      <c r="M16" s="4">
        <v>18</v>
      </c>
      <c r="N16" s="44" t="s">
        <v>135</v>
      </c>
      <c r="O16" s="43">
        <v>4</v>
      </c>
      <c r="P16" s="17" t="s">
        <v>168</v>
      </c>
      <c r="Q16" s="18" t="s">
        <v>676</v>
      </c>
      <c r="R16" s="4" t="s">
        <v>237</v>
      </c>
    </row>
    <row r="17" spans="1:18" x14ac:dyDescent="0.45">
      <c r="A17" s="5">
        <v>13112343</v>
      </c>
      <c r="B17" s="5" t="s">
        <v>797</v>
      </c>
      <c r="C17" s="16" t="s">
        <v>0</v>
      </c>
      <c r="D17" s="2" t="s">
        <v>161</v>
      </c>
      <c r="E17" s="2" t="s">
        <v>162</v>
      </c>
      <c r="F17" s="2" t="s">
        <v>163</v>
      </c>
      <c r="G17" s="2" t="s">
        <v>164</v>
      </c>
      <c r="H17" s="2" t="s">
        <v>165</v>
      </c>
      <c r="I17" s="2" t="s">
        <v>201</v>
      </c>
      <c r="J17" s="2" t="str">
        <f t="shared" si="0"/>
        <v>114595250919116</v>
      </c>
      <c r="K17" s="3">
        <v>46649</v>
      </c>
      <c r="L17" s="3" t="s">
        <v>167</v>
      </c>
      <c r="M17" s="4">
        <v>18</v>
      </c>
      <c r="N17" s="44"/>
      <c r="O17" s="43"/>
      <c r="P17" s="17" t="s">
        <v>168</v>
      </c>
      <c r="Q17" s="18" t="s">
        <v>676</v>
      </c>
      <c r="R17" s="4" t="s">
        <v>237</v>
      </c>
    </row>
    <row r="18" spans="1:18" x14ac:dyDescent="0.45">
      <c r="A18" s="5">
        <v>13112343</v>
      </c>
      <c r="B18" s="5" t="s">
        <v>797</v>
      </c>
      <c r="C18" s="16" t="s">
        <v>0</v>
      </c>
      <c r="D18" s="2" t="s">
        <v>161</v>
      </c>
      <c r="E18" s="2" t="s">
        <v>162</v>
      </c>
      <c r="F18" s="2" t="s">
        <v>183</v>
      </c>
      <c r="G18" s="2" t="s">
        <v>184</v>
      </c>
      <c r="H18" s="2" t="s">
        <v>165</v>
      </c>
      <c r="I18" s="2" t="s">
        <v>202</v>
      </c>
      <c r="J18" s="2" t="str">
        <f t="shared" si="0"/>
        <v>116501251027116</v>
      </c>
      <c r="K18" s="3">
        <v>46657</v>
      </c>
      <c r="L18" s="3" t="s">
        <v>167</v>
      </c>
      <c r="M18" s="4">
        <v>19</v>
      </c>
      <c r="N18" s="44"/>
      <c r="O18" s="43"/>
      <c r="P18" s="17" t="s">
        <v>168</v>
      </c>
      <c r="Q18" s="18" t="s">
        <v>676</v>
      </c>
      <c r="R18" s="4" t="s">
        <v>237</v>
      </c>
    </row>
    <row r="19" spans="1:18" x14ac:dyDescent="0.45">
      <c r="A19" s="5">
        <v>13112343</v>
      </c>
      <c r="B19" s="5" t="s">
        <v>797</v>
      </c>
      <c r="C19" s="16" t="s">
        <v>0</v>
      </c>
      <c r="D19" s="2" t="s">
        <v>161</v>
      </c>
      <c r="E19" s="2" t="s">
        <v>162</v>
      </c>
      <c r="F19" s="2" t="s">
        <v>195</v>
      </c>
      <c r="G19" s="2" t="s">
        <v>196</v>
      </c>
      <c r="H19" s="2" t="s">
        <v>171</v>
      </c>
      <c r="I19" s="2" t="s">
        <v>203</v>
      </c>
      <c r="J19" s="2" t="str">
        <f t="shared" si="0"/>
        <v>109934251002116</v>
      </c>
      <c r="K19" s="3">
        <v>46662</v>
      </c>
      <c r="L19" s="3" t="s">
        <v>167</v>
      </c>
      <c r="M19" s="4">
        <v>14</v>
      </c>
      <c r="N19" s="44" t="s">
        <v>136</v>
      </c>
      <c r="O19" s="43">
        <v>5</v>
      </c>
      <c r="P19" s="17" t="s">
        <v>168</v>
      </c>
      <c r="Q19" s="18" t="s">
        <v>676</v>
      </c>
      <c r="R19" s="4" t="s">
        <v>237</v>
      </c>
    </row>
    <row r="20" spans="1:18" x14ac:dyDescent="0.45">
      <c r="A20" s="5">
        <v>13112343</v>
      </c>
      <c r="B20" s="5" t="s">
        <v>797</v>
      </c>
      <c r="C20" s="16" t="s">
        <v>0</v>
      </c>
      <c r="D20" s="2" t="s">
        <v>161</v>
      </c>
      <c r="E20" s="2" t="s">
        <v>162</v>
      </c>
      <c r="F20" s="2" t="s">
        <v>173</v>
      </c>
      <c r="G20" s="2" t="s">
        <v>174</v>
      </c>
      <c r="H20" s="2" t="s">
        <v>171</v>
      </c>
      <c r="I20" s="2" t="s">
        <v>204</v>
      </c>
      <c r="J20" s="2" t="str">
        <f t="shared" si="0"/>
        <v>112858251004116</v>
      </c>
      <c r="K20" s="3">
        <v>46664</v>
      </c>
      <c r="L20" s="3" t="s">
        <v>167</v>
      </c>
      <c r="M20" s="4">
        <v>17</v>
      </c>
      <c r="N20" s="44"/>
      <c r="O20" s="43"/>
      <c r="P20" s="17" t="s">
        <v>168</v>
      </c>
      <c r="Q20" s="18" t="s">
        <v>676</v>
      </c>
      <c r="R20" s="4" t="s">
        <v>237</v>
      </c>
    </row>
    <row r="21" spans="1:18" x14ac:dyDescent="0.45">
      <c r="A21" s="5">
        <v>13112343</v>
      </c>
      <c r="B21" s="5" t="s">
        <v>797</v>
      </c>
      <c r="C21" s="16" t="s">
        <v>0</v>
      </c>
      <c r="D21" s="2" t="s">
        <v>161</v>
      </c>
      <c r="E21" s="2" t="s">
        <v>162</v>
      </c>
      <c r="F21" s="2" t="s">
        <v>173</v>
      </c>
      <c r="G21" s="2" t="s">
        <v>174</v>
      </c>
      <c r="H21" s="2" t="s">
        <v>171</v>
      </c>
      <c r="I21" s="2" t="s">
        <v>205</v>
      </c>
      <c r="J21" s="2" t="str">
        <f t="shared" si="0"/>
        <v>112858250914116</v>
      </c>
      <c r="K21" s="3">
        <v>46644</v>
      </c>
      <c r="L21" s="3" t="s">
        <v>167</v>
      </c>
      <c r="M21" s="4">
        <v>11</v>
      </c>
      <c r="N21" s="44"/>
      <c r="O21" s="43"/>
      <c r="P21" s="17" t="s">
        <v>168</v>
      </c>
      <c r="Q21" s="18" t="s">
        <v>676</v>
      </c>
      <c r="R21" s="4" t="s">
        <v>237</v>
      </c>
    </row>
    <row r="22" spans="1:18" x14ac:dyDescent="0.45">
      <c r="A22" s="5">
        <v>13112343</v>
      </c>
      <c r="B22" s="5" t="s">
        <v>797</v>
      </c>
      <c r="C22" s="16" t="s">
        <v>0</v>
      </c>
      <c r="D22" s="2" t="s">
        <v>161</v>
      </c>
      <c r="E22" s="2" t="s">
        <v>162</v>
      </c>
      <c r="F22" s="2" t="s">
        <v>206</v>
      </c>
      <c r="G22" s="2" t="s">
        <v>207</v>
      </c>
      <c r="H22" s="2" t="s">
        <v>171</v>
      </c>
      <c r="I22" s="2" t="s">
        <v>208</v>
      </c>
      <c r="J22" s="2" t="str">
        <f t="shared" si="0"/>
        <v>103545251008116</v>
      </c>
      <c r="K22" s="3">
        <v>46668</v>
      </c>
      <c r="L22" s="3" t="s">
        <v>167</v>
      </c>
      <c r="M22" s="4">
        <v>13</v>
      </c>
      <c r="N22" s="44" t="s">
        <v>137</v>
      </c>
      <c r="O22" s="43">
        <v>6</v>
      </c>
      <c r="P22" s="17" t="s">
        <v>168</v>
      </c>
      <c r="Q22" s="18" t="s">
        <v>676</v>
      </c>
      <c r="R22" s="4" t="s">
        <v>237</v>
      </c>
    </row>
    <row r="23" spans="1:18" x14ac:dyDescent="0.45">
      <c r="A23" s="5">
        <v>13112343</v>
      </c>
      <c r="B23" s="5" t="s">
        <v>797</v>
      </c>
      <c r="C23" s="16" t="s">
        <v>0</v>
      </c>
      <c r="D23" s="2" t="s">
        <v>161</v>
      </c>
      <c r="E23" s="2" t="s">
        <v>162</v>
      </c>
      <c r="F23" s="2" t="s">
        <v>209</v>
      </c>
      <c r="G23" s="2" t="s">
        <v>210</v>
      </c>
      <c r="H23" s="2" t="s">
        <v>165</v>
      </c>
      <c r="I23" s="2" t="s">
        <v>211</v>
      </c>
      <c r="J23" s="2" t="str">
        <f t="shared" si="0"/>
        <v>117466251017116</v>
      </c>
      <c r="K23" s="3">
        <v>46677</v>
      </c>
      <c r="L23" s="3" t="s">
        <v>167</v>
      </c>
      <c r="M23" s="4">
        <v>28</v>
      </c>
      <c r="N23" s="44"/>
      <c r="O23" s="43"/>
      <c r="P23" s="17" t="s">
        <v>168</v>
      </c>
      <c r="Q23" s="18" t="s">
        <v>679</v>
      </c>
      <c r="R23" s="4" t="s">
        <v>237</v>
      </c>
    </row>
    <row r="24" spans="1:18" x14ac:dyDescent="0.45">
      <c r="A24" s="5">
        <v>13112343</v>
      </c>
      <c r="B24" s="5" t="s">
        <v>797</v>
      </c>
      <c r="C24" s="16" t="s">
        <v>0</v>
      </c>
      <c r="D24" s="2" t="s">
        <v>161</v>
      </c>
      <c r="E24" s="2" t="s">
        <v>162</v>
      </c>
      <c r="F24" s="2" t="s">
        <v>191</v>
      </c>
      <c r="G24" s="2" t="s">
        <v>192</v>
      </c>
      <c r="H24" s="2" t="s">
        <v>171</v>
      </c>
      <c r="I24" s="2" t="s">
        <v>212</v>
      </c>
      <c r="J24" s="2" t="str">
        <f t="shared" si="0"/>
        <v>103087260212116</v>
      </c>
      <c r="K24" s="3">
        <v>46795</v>
      </c>
      <c r="L24" s="3" t="s">
        <v>167</v>
      </c>
      <c r="M24" s="4">
        <v>32</v>
      </c>
      <c r="N24" s="44" t="s">
        <v>138</v>
      </c>
      <c r="O24" s="43">
        <v>7</v>
      </c>
      <c r="P24" s="17" t="s">
        <v>168</v>
      </c>
      <c r="Q24" s="18" t="s">
        <v>676</v>
      </c>
      <c r="R24" s="4" t="s">
        <v>237</v>
      </c>
    </row>
    <row r="25" spans="1:18" x14ac:dyDescent="0.45">
      <c r="A25" s="5">
        <v>13112343</v>
      </c>
      <c r="B25" s="5" t="s">
        <v>797</v>
      </c>
      <c r="C25" s="16" t="s">
        <v>0</v>
      </c>
      <c r="D25" s="2" t="s">
        <v>161</v>
      </c>
      <c r="E25" s="2" t="s">
        <v>162</v>
      </c>
      <c r="F25" s="2" t="s">
        <v>206</v>
      </c>
      <c r="G25" s="2" t="s">
        <v>207</v>
      </c>
      <c r="H25" s="2" t="s">
        <v>171</v>
      </c>
      <c r="I25" s="2" t="s">
        <v>213</v>
      </c>
      <c r="J25" s="2" t="str">
        <f t="shared" si="0"/>
        <v>103545260218116</v>
      </c>
      <c r="K25" s="3">
        <v>46801</v>
      </c>
      <c r="L25" s="3" t="s">
        <v>167</v>
      </c>
      <c r="M25" s="4">
        <v>6</v>
      </c>
      <c r="N25" s="44"/>
      <c r="O25" s="43"/>
      <c r="P25" s="17" t="s">
        <v>168</v>
      </c>
      <c r="Q25" s="18" t="s">
        <v>676</v>
      </c>
      <c r="R25" s="4" t="s">
        <v>237</v>
      </c>
    </row>
    <row r="26" spans="1:18" x14ac:dyDescent="0.45">
      <c r="A26" s="5">
        <v>13112343</v>
      </c>
      <c r="B26" s="5" t="s">
        <v>797</v>
      </c>
      <c r="C26" s="16" t="s">
        <v>0</v>
      </c>
      <c r="D26" s="2" t="s">
        <v>161</v>
      </c>
      <c r="E26" s="2" t="s">
        <v>162</v>
      </c>
      <c r="F26" s="2" t="s">
        <v>214</v>
      </c>
      <c r="G26" s="2" t="s">
        <v>215</v>
      </c>
      <c r="H26" s="2" t="s">
        <v>171</v>
      </c>
      <c r="I26" s="2" t="s">
        <v>216</v>
      </c>
      <c r="J26" s="2" t="str">
        <f t="shared" si="0"/>
        <v>110372260404116</v>
      </c>
      <c r="K26" s="3">
        <v>46846</v>
      </c>
      <c r="L26" s="3" t="s">
        <v>167</v>
      </c>
      <c r="M26" s="4">
        <v>14</v>
      </c>
      <c r="N26" s="44"/>
      <c r="O26" s="43"/>
      <c r="P26" s="17" t="s">
        <v>168</v>
      </c>
      <c r="Q26" s="18" t="s">
        <v>676</v>
      </c>
      <c r="R26" s="4" t="s">
        <v>237</v>
      </c>
    </row>
    <row r="27" spans="1:18" x14ac:dyDescent="0.45">
      <c r="A27" s="5">
        <v>13112343</v>
      </c>
      <c r="B27" s="5" t="s">
        <v>797</v>
      </c>
      <c r="C27" s="16" t="s">
        <v>0</v>
      </c>
      <c r="D27" s="2" t="s">
        <v>161</v>
      </c>
      <c r="E27" s="2" t="s">
        <v>162</v>
      </c>
      <c r="F27" s="2" t="s">
        <v>173</v>
      </c>
      <c r="G27" s="2" t="s">
        <v>174</v>
      </c>
      <c r="H27" s="2" t="s">
        <v>171</v>
      </c>
      <c r="I27" s="2" t="s">
        <v>204</v>
      </c>
      <c r="J27" s="2" t="str">
        <f t="shared" si="0"/>
        <v>112858251004116</v>
      </c>
      <c r="K27" s="3">
        <v>46664</v>
      </c>
      <c r="L27" s="3" t="s">
        <v>167</v>
      </c>
      <c r="M27" s="20">
        <v>63</v>
      </c>
      <c r="N27" s="1">
        <v>1</v>
      </c>
      <c r="O27" s="1">
        <v>8</v>
      </c>
      <c r="P27" s="17" t="s">
        <v>5</v>
      </c>
      <c r="Q27" s="18" t="s">
        <v>676</v>
      </c>
      <c r="R27" s="4" t="s">
        <v>237</v>
      </c>
    </row>
    <row r="28" spans="1:18" x14ac:dyDescent="0.45">
      <c r="A28" s="5">
        <v>13112343</v>
      </c>
      <c r="B28" s="5" t="s">
        <v>797</v>
      </c>
      <c r="C28" s="16" t="s">
        <v>0</v>
      </c>
      <c r="D28" s="2" t="s">
        <v>161</v>
      </c>
      <c r="E28" s="2" t="s">
        <v>162</v>
      </c>
      <c r="F28" s="2" t="s">
        <v>191</v>
      </c>
      <c r="G28" s="2" t="s">
        <v>192</v>
      </c>
      <c r="H28" s="2" t="s">
        <v>171</v>
      </c>
      <c r="I28" s="2" t="s">
        <v>212</v>
      </c>
      <c r="J28" s="2" t="str">
        <f t="shared" si="0"/>
        <v>103087260212116</v>
      </c>
      <c r="K28" s="3">
        <v>46795</v>
      </c>
      <c r="L28" s="3" t="s">
        <v>167</v>
      </c>
      <c r="M28" s="20">
        <v>63</v>
      </c>
      <c r="N28" s="1">
        <v>1</v>
      </c>
      <c r="O28" s="1">
        <v>9</v>
      </c>
      <c r="P28" s="17" t="s">
        <v>5</v>
      </c>
      <c r="Q28" s="18" t="s">
        <v>676</v>
      </c>
      <c r="R28" s="4" t="s">
        <v>237</v>
      </c>
    </row>
    <row r="29" spans="1:18" x14ac:dyDescent="0.45">
      <c r="A29" s="5">
        <v>13112343</v>
      </c>
      <c r="B29" s="5" t="s">
        <v>797</v>
      </c>
      <c r="C29" s="16" t="s">
        <v>0</v>
      </c>
      <c r="D29" s="2" t="s">
        <v>161</v>
      </c>
      <c r="E29" s="2" t="s">
        <v>162</v>
      </c>
      <c r="F29" s="2" t="s">
        <v>217</v>
      </c>
      <c r="G29" s="2" t="s">
        <v>218</v>
      </c>
      <c r="H29" s="2" t="s">
        <v>171</v>
      </c>
      <c r="I29" s="2" t="s">
        <v>219</v>
      </c>
      <c r="J29" s="2" t="str">
        <f t="shared" si="0"/>
        <v>110305240925116</v>
      </c>
      <c r="K29" s="3">
        <v>46290</v>
      </c>
      <c r="L29" s="3" t="s">
        <v>167</v>
      </c>
      <c r="M29" s="4">
        <v>63</v>
      </c>
      <c r="N29" s="22">
        <v>1</v>
      </c>
      <c r="O29" s="22">
        <v>10</v>
      </c>
      <c r="P29" s="17" t="s">
        <v>5</v>
      </c>
      <c r="Q29" s="18" t="s">
        <v>677</v>
      </c>
      <c r="R29" s="4" t="s">
        <v>237</v>
      </c>
    </row>
    <row r="30" spans="1:18" x14ac:dyDescent="0.45">
      <c r="A30" s="5">
        <v>13112343</v>
      </c>
      <c r="B30" s="5" t="s">
        <v>797</v>
      </c>
      <c r="C30" s="16" t="s">
        <v>0</v>
      </c>
      <c r="D30" s="2" t="s">
        <v>161</v>
      </c>
      <c r="E30" s="2" t="s">
        <v>162</v>
      </c>
      <c r="F30" s="2" t="s">
        <v>220</v>
      </c>
      <c r="G30" s="2" t="s">
        <v>221</v>
      </c>
      <c r="H30" s="2" t="s">
        <v>165</v>
      </c>
      <c r="I30" s="2" t="s">
        <v>222</v>
      </c>
      <c r="J30" s="2" t="str">
        <f t="shared" si="0"/>
        <v>1138420002308765</v>
      </c>
      <c r="K30" s="3">
        <v>46375</v>
      </c>
      <c r="L30" s="3" t="s">
        <v>4</v>
      </c>
      <c r="M30" s="4">
        <v>315</v>
      </c>
      <c r="N30" s="22">
        <v>5</v>
      </c>
      <c r="O30" s="22">
        <v>15</v>
      </c>
      <c r="P30" s="17" t="s">
        <v>5</v>
      </c>
      <c r="Q30" s="18" t="s">
        <v>678</v>
      </c>
      <c r="R30" s="4" t="s">
        <v>237</v>
      </c>
    </row>
    <row r="31" spans="1:18" x14ac:dyDescent="0.45">
      <c r="A31" s="5">
        <v>13112343</v>
      </c>
      <c r="B31" s="5" t="s">
        <v>797</v>
      </c>
      <c r="C31" s="16" t="s">
        <v>0</v>
      </c>
      <c r="D31" s="2" t="s">
        <v>161</v>
      </c>
      <c r="E31" s="2" t="s">
        <v>162</v>
      </c>
      <c r="F31" s="2" t="s">
        <v>183</v>
      </c>
      <c r="G31" s="2" t="s">
        <v>184</v>
      </c>
      <c r="H31" s="2" t="s">
        <v>165</v>
      </c>
      <c r="I31" s="2" t="s">
        <v>223</v>
      </c>
      <c r="J31" s="2" t="str">
        <f t="shared" si="0"/>
        <v>116501250407000</v>
      </c>
      <c r="K31" s="3">
        <v>46466</v>
      </c>
      <c r="L31" s="3" t="s">
        <v>167</v>
      </c>
      <c r="M31" s="4">
        <v>61</v>
      </c>
      <c r="N31" s="22">
        <v>1</v>
      </c>
      <c r="O31" s="22">
        <v>16</v>
      </c>
      <c r="P31" s="5" t="s">
        <v>224</v>
      </c>
      <c r="Q31" s="18" t="s">
        <v>676</v>
      </c>
      <c r="R31" s="4" t="s">
        <v>237</v>
      </c>
    </row>
    <row r="32" spans="1:18" x14ac:dyDescent="0.45">
      <c r="A32" s="5">
        <v>13112343</v>
      </c>
      <c r="B32" s="5" t="s">
        <v>797</v>
      </c>
      <c r="C32" s="16" t="s">
        <v>0</v>
      </c>
      <c r="D32" s="2" t="s">
        <v>161</v>
      </c>
      <c r="E32" s="2" t="s">
        <v>162</v>
      </c>
      <c r="F32" s="2" t="s">
        <v>195</v>
      </c>
      <c r="G32" s="2" t="s">
        <v>196</v>
      </c>
      <c r="H32" s="2" t="s">
        <v>171</v>
      </c>
      <c r="I32" s="2" t="s">
        <v>225</v>
      </c>
      <c r="J32" s="2" t="str">
        <f t="shared" si="0"/>
        <v>109934250606116</v>
      </c>
      <c r="K32" s="3">
        <v>46544</v>
      </c>
      <c r="L32" s="3" t="s">
        <v>167</v>
      </c>
      <c r="M32" s="4">
        <v>63</v>
      </c>
      <c r="N32" s="22">
        <v>1</v>
      </c>
      <c r="O32" s="22">
        <v>17</v>
      </c>
      <c r="P32" s="17" t="s">
        <v>5</v>
      </c>
      <c r="Q32" s="18" t="s">
        <v>677</v>
      </c>
      <c r="R32" s="4" t="s">
        <v>237</v>
      </c>
    </row>
    <row r="33" spans="1:18" x14ac:dyDescent="0.45">
      <c r="A33" s="5">
        <v>13112343</v>
      </c>
      <c r="B33" s="5" t="s">
        <v>797</v>
      </c>
      <c r="C33" s="16" t="s">
        <v>0</v>
      </c>
      <c r="D33" s="2" t="s">
        <v>161</v>
      </c>
      <c r="E33" s="2" t="s">
        <v>162</v>
      </c>
      <c r="F33" s="2" t="s">
        <v>187</v>
      </c>
      <c r="G33" s="2" t="s">
        <v>188</v>
      </c>
      <c r="H33" s="2" t="s">
        <v>165</v>
      </c>
      <c r="I33" s="2" t="s">
        <v>226</v>
      </c>
      <c r="J33" s="2" t="str">
        <f t="shared" si="0"/>
        <v>117477250810116</v>
      </c>
      <c r="K33" s="3">
        <v>46609</v>
      </c>
      <c r="L33" s="3" t="s">
        <v>167</v>
      </c>
      <c r="M33" s="4">
        <v>63</v>
      </c>
      <c r="N33" s="22">
        <v>1</v>
      </c>
      <c r="O33" s="22">
        <v>18</v>
      </c>
      <c r="P33" s="17" t="s">
        <v>5</v>
      </c>
      <c r="Q33" s="18" t="s">
        <v>677</v>
      </c>
      <c r="R33" s="4" t="s">
        <v>237</v>
      </c>
    </row>
    <row r="34" spans="1:18" x14ac:dyDescent="0.45">
      <c r="A34" s="5">
        <v>13112343</v>
      </c>
      <c r="B34" s="5" t="s">
        <v>797</v>
      </c>
      <c r="C34" s="16" t="s">
        <v>0</v>
      </c>
      <c r="D34" s="2" t="s">
        <v>161</v>
      </c>
      <c r="E34" s="2" t="s">
        <v>162</v>
      </c>
      <c r="F34" s="2" t="s">
        <v>195</v>
      </c>
      <c r="G34" s="2" t="s">
        <v>196</v>
      </c>
      <c r="H34" s="2" t="s">
        <v>171</v>
      </c>
      <c r="I34" s="2" t="s">
        <v>227</v>
      </c>
      <c r="J34" s="2" t="str">
        <f t="shared" si="0"/>
        <v>109934250905116</v>
      </c>
      <c r="K34" s="3">
        <v>46635</v>
      </c>
      <c r="L34" s="3" t="s">
        <v>167</v>
      </c>
      <c r="M34" s="4">
        <v>60</v>
      </c>
      <c r="N34" s="22">
        <v>1</v>
      </c>
      <c r="O34" s="22">
        <v>19</v>
      </c>
      <c r="P34" s="5" t="s">
        <v>224</v>
      </c>
      <c r="Q34" s="18" t="s">
        <v>676</v>
      </c>
      <c r="R34" s="4" t="s">
        <v>237</v>
      </c>
    </row>
    <row r="35" spans="1:18" x14ac:dyDescent="0.45">
      <c r="A35" s="5">
        <v>13112343</v>
      </c>
      <c r="B35" s="5" t="s">
        <v>797</v>
      </c>
      <c r="C35" s="16" t="s">
        <v>0</v>
      </c>
      <c r="D35" s="2" t="s">
        <v>161</v>
      </c>
      <c r="E35" s="2" t="s">
        <v>162</v>
      </c>
      <c r="F35" s="2" t="s">
        <v>228</v>
      </c>
      <c r="G35" s="2" t="s">
        <v>229</v>
      </c>
      <c r="H35" s="2" t="s">
        <v>171</v>
      </c>
      <c r="I35" s="2" t="s">
        <v>230</v>
      </c>
      <c r="J35" s="2" t="str">
        <f t="shared" si="0"/>
        <v>111261251029116</v>
      </c>
      <c r="K35" s="3">
        <v>46689</v>
      </c>
      <c r="L35" s="3" t="s">
        <v>167</v>
      </c>
      <c r="M35" s="4">
        <v>62</v>
      </c>
      <c r="N35" s="22">
        <v>1</v>
      </c>
      <c r="O35" s="22">
        <v>20</v>
      </c>
      <c r="P35" s="5" t="s">
        <v>224</v>
      </c>
      <c r="Q35" s="18" t="s">
        <v>676</v>
      </c>
      <c r="R35" s="4" t="s">
        <v>237</v>
      </c>
    </row>
    <row r="36" spans="1:18" x14ac:dyDescent="0.45">
      <c r="A36" s="5">
        <v>13112343</v>
      </c>
      <c r="B36" s="5" t="s">
        <v>797</v>
      </c>
      <c r="C36" s="16" t="s">
        <v>0</v>
      </c>
      <c r="D36" s="2" t="s">
        <v>161</v>
      </c>
      <c r="E36" s="2" t="s">
        <v>162</v>
      </c>
      <c r="F36" s="2" t="s">
        <v>177</v>
      </c>
      <c r="G36" s="2" t="s">
        <v>178</v>
      </c>
      <c r="H36" s="2" t="s">
        <v>165</v>
      </c>
      <c r="I36" s="2" t="s">
        <v>231</v>
      </c>
      <c r="J36" s="2" t="str">
        <f t="shared" si="0"/>
        <v>116428251123116</v>
      </c>
      <c r="K36" s="3">
        <v>46714</v>
      </c>
      <c r="L36" s="3" t="s">
        <v>167</v>
      </c>
      <c r="M36" s="4">
        <v>61</v>
      </c>
      <c r="N36" s="22">
        <v>1</v>
      </c>
      <c r="O36" s="22">
        <v>21</v>
      </c>
      <c r="P36" s="5" t="s">
        <v>224</v>
      </c>
      <c r="Q36" s="18" t="s">
        <v>676</v>
      </c>
      <c r="R36" s="4" t="s">
        <v>237</v>
      </c>
    </row>
    <row r="37" spans="1:18" x14ac:dyDescent="0.45">
      <c r="A37" s="5">
        <v>13112343</v>
      </c>
      <c r="B37" s="5" t="s">
        <v>797</v>
      </c>
      <c r="C37" s="16" t="s">
        <v>0</v>
      </c>
      <c r="D37" s="2" t="s">
        <v>161</v>
      </c>
      <c r="E37" s="2" t="s">
        <v>162</v>
      </c>
      <c r="F37" s="2" t="s">
        <v>232</v>
      </c>
      <c r="G37" s="2" t="s">
        <v>233</v>
      </c>
      <c r="H37" s="2" t="s">
        <v>165</v>
      </c>
      <c r="I37" s="2" t="s">
        <v>234</v>
      </c>
      <c r="J37" s="2" t="str">
        <f t="shared" si="0"/>
        <v>1180430006068578</v>
      </c>
      <c r="K37" s="3">
        <v>46726</v>
      </c>
      <c r="L37" s="3" t="s">
        <v>4</v>
      </c>
      <c r="M37" s="4">
        <v>52</v>
      </c>
      <c r="N37" s="22">
        <v>1</v>
      </c>
      <c r="O37" s="22">
        <v>22</v>
      </c>
      <c r="P37" s="5" t="s">
        <v>224</v>
      </c>
      <c r="Q37" s="18" t="s">
        <v>676</v>
      </c>
      <c r="R37" s="4" t="s">
        <v>237</v>
      </c>
    </row>
    <row r="38" spans="1:18" x14ac:dyDescent="0.45">
      <c r="A38" s="5">
        <v>13112343</v>
      </c>
      <c r="B38" s="5" t="s">
        <v>797</v>
      </c>
      <c r="C38" s="16" t="s">
        <v>0</v>
      </c>
      <c r="D38" s="2" t="s">
        <v>161</v>
      </c>
      <c r="E38" s="2" t="s">
        <v>162</v>
      </c>
      <c r="F38" s="2" t="s">
        <v>206</v>
      </c>
      <c r="G38" s="2" t="s">
        <v>207</v>
      </c>
      <c r="H38" s="2" t="s">
        <v>171</v>
      </c>
      <c r="I38" s="2" t="s">
        <v>235</v>
      </c>
      <c r="J38" s="2" t="str">
        <f t="shared" si="0"/>
        <v>103545251206116</v>
      </c>
      <c r="K38" s="3">
        <v>46727</v>
      </c>
      <c r="L38" s="3" t="s">
        <v>167</v>
      </c>
      <c r="M38" s="4">
        <v>61</v>
      </c>
      <c r="N38" s="22">
        <v>1</v>
      </c>
      <c r="O38" s="22">
        <v>23</v>
      </c>
      <c r="P38" s="5" t="s">
        <v>224</v>
      </c>
      <c r="Q38" s="18" t="s">
        <v>676</v>
      </c>
      <c r="R38" s="4" t="s">
        <v>237</v>
      </c>
    </row>
    <row r="39" spans="1:18" x14ac:dyDescent="0.45">
      <c r="A39" s="5">
        <v>13112343</v>
      </c>
      <c r="B39" s="5" t="s">
        <v>797</v>
      </c>
      <c r="C39" s="16" t="s">
        <v>0</v>
      </c>
      <c r="D39" s="2" t="s">
        <v>161</v>
      </c>
      <c r="E39" s="2" t="s">
        <v>162</v>
      </c>
      <c r="F39" s="2" t="s">
        <v>232</v>
      </c>
      <c r="G39" s="2" t="s">
        <v>233</v>
      </c>
      <c r="H39" s="2" t="s">
        <v>165</v>
      </c>
      <c r="I39" s="2" t="s">
        <v>236</v>
      </c>
      <c r="J39" s="2" t="str">
        <f t="shared" si="0"/>
        <v>1180430006080927</v>
      </c>
      <c r="K39" s="3">
        <v>46774</v>
      </c>
      <c r="L39" s="3" t="s">
        <v>4</v>
      </c>
      <c r="M39" s="4">
        <v>40</v>
      </c>
      <c r="N39" s="22">
        <v>1</v>
      </c>
      <c r="O39" s="22">
        <v>24</v>
      </c>
      <c r="P39" s="5" t="s">
        <v>224</v>
      </c>
      <c r="Q39" s="18" t="s">
        <v>676</v>
      </c>
      <c r="R39" s="4" t="s">
        <v>237</v>
      </c>
    </row>
    <row r="40" spans="1:18" x14ac:dyDescent="0.45">
      <c r="A40" s="5"/>
      <c r="B40" s="5"/>
      <c r="C40" s="42" t="s">
        <v>29</v>
      </c>
      <c r="D40" s="42"/>
      <c r="E40" s="42"/>
      <c r="F40" s="42"/>
      <c r="G40" s="42"/>
      <c r="H40" s="42"/>
      <c r="I40" s="42"/>
      <c r="J40" s="42"/>
      <c r="K40" s="42"/>
      <c r="L40" s="42"/>
      <c r="M40" s="7">
        <f>SUM(M3:M39)</f>
        <v>1360</v>
      </c>
      <c r="N40" s="21" t="s">
        <v>792</v>
      </c>
      <c r="O40" s="21" t="s">
        <v>792</v>
      </c>
      <c r="P40" s="5"/>
      <c r="Q40" s="5"/>
      <c r="R40" s="5"/>
    </row>
  </sheetData>
  <autoFilter ref="C2:R2" xr:uid="{94DBB828-C80F-45B1-BF02-6D469B75AD4F}"/>
  <mergeCells count="15">
    <mergeCell ref="N24:N26"/>
    <mergeCell ref="C40:L40"/>
    <mergeCell ref="N3:N7"/>
    <mergeCell ref="N8:N11"/>
    <mergeCell ref="N12:N15"/>
    <mergeCell ref="N16:N18"/>
    <mergeCell ref="N19:N21"/>
    <mergeCell ref="N22:N23"/>
    <mergeCell ref="O8:O11"/>
    <mergeCell ref="O3:O7"/>
    <mergeCell ref="O24:O26"/>
    <mergeCell ref="O22:O23"/>
    <mergeCell ref="O19:O21"/>
    <mergeCell ref="O16:O18"/>
    <mergeCell ref="O12:O15"/>
  </mergeCells>
  <conditionalFormatting sqref="I3:J40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B2EE-C30E-4FB4-A792-8FFD934B1B72}">
  <dimension ref="A1:P51"/>
  <sheetViews>
    <sheetView workbookViewId="0">
      <selection activeCell="E26" sqref="E26"/>
    </sheetView>
  </sheetViews>
  <sheetFormatPr defaultRowHeight="14.25" x14ac:dyDescent="0.45"/>
  <cols>
    <col min="1" max="1" width="13.59765625" bestFit="1" customWidth="1"/>
    <col min="2" max="2" width="19.73046875" bestFit="1" customWidth="1"/>
    <col min="3" max="3" width="13.1328125" bestFit="1" customWidth="1"/>
    <col min="4" max="4" width="10.1328125" bestFit="1" customWidth="1"/>
    <col min="5" max="5" width="22.73046875" bestFit="1" customWidth="1"/>
    <col min="6" max="6" width="12.86328125" bestFit="1" customWidth="1"/>
    <col min="7" max="7" width="43.265625" bestFit="1" customWidth="1"/>
    <col min="8" max="8" width="11.59765625" bestFit="1" customWidth="1"/>
    <col min="9" max="9" width="11" bestFit="1" customWidth="1"/>
    <col min="10" max="10" width="14" bestFit="1" customWidth="1"/>
    <col min="11" max="11" width="26.86328125" bestFit="1" customWidth="1"/>
    <col min="12" max="12" width="15.73046875" bestFit="1" customWidth="1"/>
    <col min="13" max="13" width="16.3984375" bestFit="1" customWidth="1"/>
    <col min="14" max="14" width="14.59765625" bestFit="1" customWidth="1"/>
    <col min="15" max="15" width="19.3984375" bestFit="1" customWidth="1"/>
    <col min="16" max="16" width="19.86328125" bestFit="1" customWidth="1"/>
  </cols>
  <sheetData>
    <row r="1" spans="1:16" x14ac:dyDescent="0.4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37" t="e">
        <f>#REF!+#REF!+L51</f>
        <v>#REF!</v>
      </c>
      <c r="M1" s="37" t="e">
        <f>#REF!+#REF!</f>
        <v>#REF!</v>
      </c>
      <c r="N1" s="37"/>
      <c r="O1" s="5"/>
      <c r="P1" s="5"/>
    </row>
    <row r="2" spans="1:16" x14ac:dyDescent="0.45">
      <c r="A2" s="9" t="s">
        <v>27</v>
      </c>
      <c r="B2" s="9" t="s">
        <v>28</v>
      </c>
      <c r="C2" s="8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23</v>
      </c>
      <c r="M2" s="9" t="s">
        <v>24</v>
      </c>
      <c r="N2" s="9" t="s">
        <v>24</v>
      </c>
      <c r="O2" s="9" t="s">
        <v>25</v>
      </c>
      <c r="P2" s="9" t="s">
        <v>26</v>
      </c>
    </row>
    <row r="3" spans="1:16" x14ac:dyDescent="0.45">
      <c r="A3" s="32">
        <v>13111372</v>
      </c>
      <c r="B3" s="32" t="s">
        <v>800</v>
      </c>
      <c r="C3" s="36" t="s">
        <v>0</v>
      </c>
      <c r="D3" s="2" t="s">
        <v>1</v>
      </c>
      <c r="E3" s="5" t="s">
        <v>2</v>
      </c>
      <c r="F3" s="2" t="s">
        <v>32</v>
      </c>
      <c r="G3" s="2" t="s">
        <v>33</v>
      </c>
      <c r="H3" s="2" t="s">
        <v>3</v>
      </c>
      <c r="I3" s="2" t="s">
        <v>80</v>
      </c>
      <c r="J3" s="3">
        <v>46587</v>
      </c>
      <c r="K3" s="3" t="s">
        <v>4</v>
      </c>
      <c r="L3" s="4">
        <v>13</v>
      </c>
      <c r="M3" s="41" t="s">
        <v>132</v>
      </c>
      <c r="N3" s="40">
        <v>1</v>
      </c>
      <c r="O3" s="6" t="s">
        <v>156</v>
      </c>
      <c r="P3" s="5" t="s">
        <v>6</v>
      </c>
    </row>
    <row r="4" spans="1:16" x14ac:dyDescent="0.45">
      <c r="A4" s="32">
        <v>13111372</v>
      </c>
      <c r="B4" s="32" t="s">
        <v>800</v>
      </c>
      <c r="C4" s="36" t="s">
        <v>0</v>
      </c>
      <c r="D4" s="2" t="s">
        <v>1</v>
      </c>
      <c r="E4" s="5" t="s">
        <v>2</v>
      </c>
      <c r="F4" s="2" t="s">
        <v>32</v>
      </c>
      <c r="G4" s="2" t="s">
        <v>33</v>
      </c>
      <c r="H4" s="2" t="s">
        <v>3</v>
      </c>
      <c r="I4" s="2" t="s">
        <v>81</v>
      </c>
      <c r="J4" s="3">
        <v>46682</v>
      </c>
      <c r="K4" s="3" t="s">
        <v>4</v>
      </c>
      <c r="L4" s="4">
        <v>34</v>
      </c>
      <c r="M4" s="41"/>
      <c r="N4" s="40"/>
      <c r="O4" s="6" t="s">
        <v>156</v>
      </c>
      <c r="P4" s="5" t="s">
        <v>6</v>
      </c>
    </row>
    <row r="5" spans="1:16" x14ac:dyDescent="0.45">
      <c r="A5" s="32">
        <v>13111372</v>
      </c>
      <c r="B5" s="32" t="s">
        <v>800</v>
      </c>
      <c r="C5" s="36" t="s">
        <v>0</v>
      </c>
      <c r="D5" s="2" t="s">
        <v>1</v>
      </c>
      <c r="E5" s="5" t="s">
        <v>2</v>
      </c>
      <c r="F5" s="2" t="s">
        <v>32</v>
      </c>
      <c r="G5" s="2" t="s">
        <v>33</v>
      </c>
      <c r="H5" s="2" t="s">
        <v>3</v>
      </c>
      <c r="I5" s="2" t="s">
        <v>82</v>
      </c>
      <c r="J5" s="3">
        <v>46232</v>
      </c>
      <c r="K5" s="3" t="s">
        <v>13</v>
      </c>
      <c r="L5" s="4">
        <v>25</v>
      </c>
      <c r="M5" s="41" t="s">
        <v>133</v>
      </c>
      <c r="N5" s="40">
        <v>2</v>
      </c>
      <c r="O5" s="6" t="s">
        <v>156</v>
      </c>
      <c r="P5" s="5" t="s">
        <v>6</v>
      </c>
    </row>
    <row r="6" spans="1:16" x14ac:dyDescent="0.45">
      <c r="A6" s="32">
        <v>13111372</v>
      </c>
      <c r="B6" s="32" t="s">
        <v>800</v>
      </c>
      <c r="C6" s="36" t="s">
        <v>0</v>
      </c>
      <c r="D6" s="2" t="s">
        <v>1</v>
      </c>
      <c r="E6" s="5" t="s">
        <v>2</v>
      </c>
      <c r="F6" s="2" t="s">
        <v>34</v>
      </c>
      <c r="G6" s="2" t="s">
        <v>35</v>
      </c>
      <c r="H6" s="2" t="s">
        <v>3</v>
      </c>
      <c r="I6" s="2" t="s">
        <v>83</v>
      </c>
      <c r="J6" s="3">
        <v>46389</v>
      </c>
      <c r="K6" s="3" t="s">
        <v>13</v>
      </c>
      <c r="L6" s="4">
        <v>36</v>
      </c>
      <c r="M6" s="41"/>
      <c r="N6" s="40"/>
      <c r="O6" s="6" t="s">
        <v>156</v>
      </c>
      <c r="P6" s="5" t="s">
        <v>6</v>
      </c>
    </row>
    <row r="7" spans="1:16" x14ac:dyDescent="0.45">
      <c r="A7" s="32">
        <v>13111372</v>
      </c>
      <c r="B7" s="32" t="s">
        <v>800</v>
      </c>
      <c r="C7" s="36" t="s">
        <v>0</v>
      </c>
      <c r="D7" s="2" t="s">
        <v>1</v>
      </c>
      <c r="E7" s="5" t="s">
        <v>2</v>
      </c>
      <c r="F7" s="2" t="s">
        <v>34</v>
      </c>
      <c r="G7" s="2" t="s">
        <v>35</v>
      </c>
      <c r="H7" s="2" t="s">
        <v>3</v>
      </c>
      <c r="I7" s="2" t="s">
        <v>84</v>
      </c>
      <c r="J7" s="3">
        <v>46461</v>
      </c>
      <c r="K7" s="3" t="s">
        <v>13</v>
      </c>
      <c r="L7" s="4">
        <v>34</v>
      </c>
      <c r="M7" s="41" t="s">
        <v>134</v>
      </c>
      <c r="N7" s="40">
        <v>3</v>
      </c>
      <c r="O7" s="6" t="s">
        <v>156</v>
      </c>
      <c r="P7" s="5" t="s">
        <v>6</v>
      </c>
    </row>
    <row r="8" spans="1:16" x14ac:dyDescent="0.45">
      <c r="A8" s="32">
        <v>13111372</v>
      </c>
      <c r="B8" s="32" t="s">
        <v>800</v>
      </c>
      <c r="C8" s="36" t="s">
        <v>0</v>
      </c>
      <c r="D8" s="2" t="s">
        <v>1</v>
      </c>
      <c r="E8" s="5" t="s">
        <v>2</v>
      </c>
      <c r="F8" s="2" t="s">
        <v>36</v>
      </c>
      <c r="G8" s="2" t="s">
        <v>7</v>
      </c>
      <c r="H8" s="2" t="s">
        <v>3</v>
      </c>
      <c r="I8" s="2" t="s">
        <v>85</v>
      </c>
      <c r="J8" s="3">
        <v>46538</v>
      </c>
      <c r="K8" s="3" t="s">
        <v>4</v>
      </c>
      <c r="L8" s="4">
        <v>20</v>
      </c>
      <c r="M8" s="41"/>
      <c r="N8" s="40"/>
      <c r="O8" s="6" t="s">
        <v>156</v>
      </c>
      <c r="P8" s="5" t="s">
        <v>6</v>
      </c>
    </row>
    <row r="9" spans="1:16" x14ac:dyDescent="0.45">
      <c r="A9" s="32">
        <v>13111372</v>
      </c>
      <c r="B9" s="32" t="s">
        <v>800</v>
      </c>
      <c r="C9" s="36" t="s">
        <v>0</v>
      </c>
      <c r="D9" s="2" t="s">
        <v>1</v>
      </c>
      <c r="E9" s="5" t="s">
        <v>2</v>
      </c>
      <c r="F9" s="2" t="s">
        <v>32</v>
      </c>
      <c r="G9" s="2" t="s">
        <v>33</v>
      </c>
      <c r="H9" s="2" t="s">
        <v>3</v>
      </c>
      <c r="I9" s="2" t="s">
        <v>86</v>
      </c>
      <c r="J9" s="3">
        <v>46286</v>
      </c>
      <c r="K9" s="3" t="s">
        <v>87</v>
      </c>
      <c r="L9" s="4">
        <v>12</v>
      </c>
      <c r="M9" s="41" t="s">
        <v>135</v>
      </c>
      <c r="N9" s="40">
        <v>4</v>
      </c>
      <c r="O9" s="6" t="s">
        <v>156</v>
      </c>
      <c r="P9" s="5" t="s">
        <v>6</v>
      </c>
    </row>
    <row r="10" spans="1:16" x14ac:dyDescent="0.45">
      <c r="A10" s="32">
        <v>13111372</v>
      </c>
      <c r="B10" s="32" t="s">
        <v>800</v>
      </c>
      <c r="C10" s="36" t="s">
        <v>0</v>
      </c>
      <c r="D10" s="2" t="s">
        <v>1</v>
      </c>
      <c r="E10" s="5" t="s">
        <v>2</v>
      </c>
      <c r="F10" s="2" t="s">
        <v>37</v>
      </c>
      <c r="G10" s="2" t="s">
        <v>38</v>
      </c>
      <c r="H10" s="2" t="s">
        <v>3</v>
      </c>
      <c r="I10" s="2" t="s">
        <v>88</v>
      </c>
      <c r="J10" s="3">
        <v>46231</v>
      </c>
      <c r="K10" s="3" t="s">
        <v>4</v>
      </c>
      <c r="L10" s="4">
        <v>39</v>
      </c>
      <c r="M10" s="41"/>
      <c r="N10" s="40"/>
      <c r="O10" s="6" t="s">
        <v>156</v>
      </c>
      <c r="P10" s="5" t="s">
        <v>6</v>
      </c>
    </row>
    <row r="11" spans="1:16" x14ac:dyDescent="0.45">
      <c r="A11" s="32">
        <v>13111372</v>
      </c>
      <c r="B11" s="32" t="s">
        <v>800</v>
      </c>
      <c r="C11" s="36" t="s">
        <v>0</v>
      </c>
      <c r="D11" s="2" t="s">
        <v>1</v>
      </c>
      <c r="E11" s="5" t="s">
        <v>2</v>
      </c>
      <c r="F11" s="2" t="s">
        <v>36</v>
      </c>
      <c r="G11" s="2" t="s">
        <v>7</v>
      </c>
      <c r="H11" s="2" t="s">
        <v>3</v>
      </c>
      <c r="I11" s="2" t="s">
        <v>89</v>
      </c>
      <c r="J11" s="3">
        <v>46691</v>
      </c>
      <c r="K11" s="3" t="s">
        <v>4</v>
      </c>
      <c r="L11" s="4">
        <v>29</v>
      </c>
      <c r="M11" s="41" t="s">
        <v>136</v>
      </c>
      <c r="N11" s="40">
        <v>5</v>
      </c>
      <c r="O11" s="6" t="s">
        <v>156</v>
      </c>
      <c r="P11" s="5" t="s">
        <v>6</v>
      </c>
    </row>
    <row r="12" spans="1:16" x14ac:dyDescent="0.45">
      <c r="A12" s="32">
        <v>13111372</v>
      </c>
      <c r="B12" s="32" t="s">
        <v>800</v>
      </c>
      <c r="C12" s="36" t="s">
        <v>0</v>
      </c>
      <c r="D12" s="2" t="s">
        <v>1</v>
      </c>
      <c r="E12" s="5" t="s">
        <v>2</v>
      </c>
      <c r="F12" s="2" t="s">
        <v>36</v>
      </c>
      <c r="G12" s="2" t="s">
        <v>7</v>
      </c>
      <c r="H12" s="2" t="s">
        <v>3</v>
      </c>
      <c r="I12" s="2" t="s">
        <v>90</v>
      </c>
      <c r="J12" s="3">
        <v>46272</v>
      </c>
      <c r="K12" s="3" t="s">
        <v>13</v>
      </c>
      <c r="L12" s="4">
        <v>18</v>
      </c>
      <c r="M12" s="41"/>
      <c r="N12" s="40"/>
      <c r="O12" s="6" t="s">
        <v>156</v>
      </c>
      <c r="P12" s="5" t="s">
        <v>6</v>
      </c>
    </row>
    <row r="13" spans="1:16" x14ac:dyDescent="0.45">
      <c r="A13" s="32">
        <v>13111372</v>
      </c>
      <c r="B13" s="32" t="s">
        <v>800</v>
      </c>
      <c r="C13" s="36" t="s">
        <v>0</v>
      </c>
      <c r="D13" s="2" t="s">
        <v>1</v>
      </c>
      <c r="E13" s="5" t="s">
        <v>2</v>
      </c>
      <c r="F13" s="2" t="s">
        <v>39</v>
      </c>
      <c r="G13" s="2" t="s">
        <v>40</v>
      </c>
      <c r="H13" s="2" t="s">
        <v>3</v>
      </c>
      <c r="I13" s="2" t="s">
        <v>91</v>
      </c>
      <c r="J13" s="3">
        <v>46354</v>
      </c>
      <c r="K13" s="3" t="s">
        <v>92</v>
      </c>
      <c r="L13" s="4">
        <v>28</v>
      </c>
      <c r="M13" s="41" t="s">
        <v>137</v>
      </c>
      <c r="N13" s="40">
        <v>6</v>
      </c>
      <c r="O13" s="6" t="s">
        <v>156</v>
      </c>
      <c r="P13" s="5" t="s">
        <v>6</v>
      </c>
    </row>
    <row r="14" spans="1:16" x14ac:dyDescent="0.45">
      <c r="A14" s="32">
        <v>13111372</v>
      </c>
      <c r="B14" s="32" t="s">
        <v>800</v>
      </c>
      <c r="C14" s="36" t="s">
        <v>0</v>
      </c>
      <c r="D14" s="2" t="s">
        <v>1</v>
      </c>
      <c r="E14" s="5" t="s">
        <v>2</v>
      </c>
      <c r="F14" s="2" t="s">
        <v>41</v>
      </c>
      <c r="G14" s="2" t="s">
        <v>42</v>
      </c>
      <c r="H14" s="2" t="s">
        <v>3</v>
      </c>
      <c r="I14" s="2" t="s">
        <v>93</v>
      </c>
      <c r="J14" s="3">
        <v>46467</v>
      </c>
      <c r="K14" s="3" t="s">
        <v>92</v>
      </c>
      <c r="L14" s="4">
        <v>27</v>
      </c>
      <c r="M14" s="41"/>
      <c r="N14" s="40"/>
      <c r="O14" s="6" t="s">
        <v>156</v>
      </c>
      <c r="P14" s="5" t="s">
        <v>6</v>
      </c>
    </row>
    <row r="15" spans="1:16" x14ac:dyDescent="0.45">
      <c r="A15" s="32">
        <v>13111372</v>
      </c>
      <c r="B15" s="32" t="s">
        <v>800</v>
      </c>
      <c r="C15" s="36" t="s">
        <v>0</v>
      </c>
      <c r="D15" s="2" t="s">
        <v>1</v>
      </c>
      <c r="E15" s="5" t="s">
        <v>2</v>
      </c>
      <c r="F15" s="2" t="s">
        <v>39</v>
      </c>
      <c r="G15" s="2" t="s">
        <v>40</v>
      </c>
      <c r="H15" s="2" t="s">
        <v>3</v>
      </c>
      <c r="I15" s="2" t="s">
        <v>94</v>
      </c>
      <c r="J15" s="3">
        <v>46261</v>
      </c>
      <c r="K15" s="3" t="s">
        <v>92</v>
      </c>
      <c r="L15" s="4">
        <v>33</v>
      </c>
      <c r="M15" s="41" t="s">
        <v>138</v>
      </c>
      <c r="N15" s="40">
        <v>7</v>
      </c>
      <c r="O15" s="6" t="s">
        <v>156</v>
      </c>
      <c r="P15" s="5" t="s">
        <v>6</v>
      </c>
    </row>
    <row r="16" spans="1:16" x14ac:dyDescent="0.45">
      <c r="A16" s="32">
        <v>13111372</v>
      </c>
      <c r="B16" s="32" t="s">
        <v>800</v>
      </c>
      <c r="C16" s="36" t="s">
        <v>0</v>
      </c>
      <c r="D16" s="2" t="s">
        <v>1</v>
      </c>
      <c r="E16" s="5" t="s">
        <v>2</v>
      </c>
      <c r="F16" s="2" t="s">
        <v>43</v>
      </c>
      <c r="G16" s="2" t="s">
        <v>44</v>
      </c>
      <c r="H16" s="2" t="s">
        <v>3</v>
      </c>
      <c r="I16" s="2" t="s">
        <v>95</v>
      </c>
      <c r="J16" s="3">
        <v>46536</v>
      </c>
      <c r="K16" s="3" t="s">
        <v>92</v>
      </c>
      <c r="L16" s="4">
        <v>12</v>
      </c>
      <c r="M16" s="41"/>
      <c r="N16" s="40"/>
      <c r="O16" s="6" t="s">
        <v>156</v>
      </c>
      <c r="P16" s="5" t="s">
        <v>6</v>
      </c>
    </row>
    <row r="17" spans="1:16" x14ac:dyDescent="0.45">
      <c r="A17" s="32">
        <v>13111372</v>
      </c>
      <c r="B17" s="32" t="s">
        <v>800</v>
      </c>
      <c r="C17" s="36" t="s">
        <v>0</v>
      </c>
      <c r="D17" s="2" t="s">
        <v>1</v>
      </c>
      <c r="E17" s="5" t="s">
        <v>2</v>
      </c>
      <c r="F17" s="2" t="s">
        <v>41</v>
      </c>
      <c r="G17" s="2" t="s">
        <v>42</v>
      </c>
      <c r="H17" s="2" t="s">
        <v>3</v>
      </c>
      <c r="I17" s="2" t="s">
        <v>96</v>
      </c>
      <c r="J17" s="3">
        <v>46580</v>
      </c>
      <c r="K17" s="3" t="s">
        <v>92</v>
      </c>
      <c r="L17" s="4">
        <v>34</v>
      </c>
      <c r="M17" s="41" t="s">
        <v>139</v>
      </c>
      <c r="N17" s="40">
        <v>8</v>
      </c>
      <c r="O17" s="6" t="s">
        <v>156</v>
      </c>
      <c r="P17" s="5" t="s">
        <v>6</v>
      </c>
    </row>
    <row r="18" spans="1:16" x14ac:dyDescent="0.45">
      <c r="A18" s="32">
        <v>13111372</v>
      </c>
      <c r="B18" s="32" t="s">
        <v>800</v>
      </c>
      <c r="C18" s="36" t="s">
        <v>0</v>
      </c>
      <c r="D18" s="2" t="s">
        <v>1</v>
      </c>
      <c r="E18" s="5" t="s">
        <v>2</v>
      </c>
      <c r="F18" s="2" t="s">
        <v>45</v>
      </c>
      <c r="G18" s="2" t="s">
        <v>46</v>
      </c>
      <c r="H18" s="2" t="s">
        <v>3</v>
      </c>
      <c r="I18" s="2" t="s">
        <v>97</v>
      </c>
      <c r="J18" s="3">
        <v>46533</v>
      </c>
      <c r="K18" s="3" t="s">
        <v>4</v>
      </c>
      <c r="L18" s="4">
        <v>18</v>
      </c>
      <c r="M18" s="41"/>
      <c r="N18" s="40"/>
      <c r="O18" s="6" t="s">
        <v>156</v>
      </c>
      <c r="P18" s="5" t="s">
        <v>6</v>
      </c>
    </row>
    <row r="19" spans="1:16" x14ac:dyDescent="0.45">
      <c r="A19" s="32">
        <v>13111372</v>
      </c>
      <c r="B19" s="32" t="s">
        <v>800</v>
      </c>
      <c r="C19" s="36" t="s">
        <v>0</v>
      </c>
      <c r="D19" s="2" t="s">
        <v>1</v>
      </c>
      <c r="E19" s="5" t="s">
        <v>2</v>
      </c>
      <c r="F19" s="2" t="s">
        <v>47</v>
      </c>
      <c r="G19" s="2" t="s">
        <v>48</v>
      </c>
      <c r="H19" s="2" t="s">
        <v>3</v>
      </c>
      <c r="I19" s="2" t="s">
        <v>98</v>
      </c>
      <c r="J19" s="3">
        <v>46234</v>
      </c>
      <c r="K19" s="3" t="s">
        <v>4</v>
      </c>
      <c r="L19" s="4">
        <v>54</v>
      </c>
      <c r="M19" s="41" t="s">
        <v>140</v>
      </c>
      <c r="N19" s="40">
        <v>9</v>
      </c>
      <c r="O19" s="6" t="s">
        <v>156</v>
      </c>
      <c r="P19" s="5" t="s">
        <v>6</v>
      </c>
    </row>
    <row r="20" spans="1:16" x14ac:dyDescent="0.45">
      <c r="A20" s="32">
        <v>13111372</v>
      </c>
      <c r="B20" s="32" t="s">
        <v>800</v>
      </c>
      <c r="C20" s="36" t="s">
        <v>0</v>
      </c>
      <c r="D20" s="2" t="s">
        <v>1</v>
      </c>
      <c r="E20" s="5" t="s">
        <v>2</v>
      </c>
      <c r="F20" s="2" t="s">
        <v>47</v>
      </c>
      <c r="G20" s="2" t="s">
        <v>48</v>
      </c>
      <c r="H20" s="2" t="s">
        <v>3</v>
      </c>
      <c r="I20" s="2" t="s">
        <v>99</v>
      </c>
      <c r="J20" s="3">
        <v>46483</v>
      </c>
      <c r="K20" s="3" t="s">
        <v>4</v>
      </c>
      <c r="L20" s="4">
        <v>45</v>
      </c>
      <c r="M20" s="41"/>
      <c r="N20" s="40"/>
      <c r="O20" s="6" t="s">
        <v>156</v>
      </c>
      <c r="P20" s="5" t="s">
        <v>6</v>
      </c>
    </row>
    <row r="21" spans="1:16" x14ac:dyDescent="0.45">
      <c r="A21" s="32">
        <v>13111372</v>
      </c>
      <c r="B21" s="32" t="s">
        <v>800</v>
      </c>
      <c r="C21" s="36" t="s">
        <v>0</v>
      </c>
      <c r="D21" s="2" t="s">
        <v>1</v>
      </c>
      <c r="E21" s="5" t="s">
        <v>2</v>
      </c>
      <c r="F21" s="2" t="s">
        <v>47</v>
      </c>
      <c r="G21" s="2" t="s">
        <v>48</v>
      </c>
      <c r="H21" s="2" t="s">
        <v>3</v>
      </c>
      <c r="I21" s="2" t="s">
        <v>100</v>
      </c>
      <c r="J21" s="3">
        <v>46546</v>
      </c>
      <c r="K21" s="3" t="s">
        <v>4</v>
      </c>
      <c r="L21" s="4">
        <v>57</v>
      </c>
      <c r="M21" s="41" t="s">
        <v>141</v>
      </c>
      <c r="N21" s="40">
        <v>10</v>
      </c>
      <c r="O21" s="6" t="s">
        <v>156</v>
      </c>
      <c r="P21" s="5" t="s">
        <v>6</v>
      </c>
    </row>
    <row r="22" spans="1:16" x14ac:dyDescent="0.45">
      <c r="A22" s="32">
        <v>13111372</v>
      </c>
      <c r="B22" s="32" t="s">
        <v>800</v>
      </c>
      <c r="C22" s="36" t="s">
        <v>0</v>
      </c>
      <c r="D22" s="2" t="s">
        <v>1</v>
      </c>
      <c r="E22" s="5" t="s">
        <v>2</v>
      </c>
      <c r="F22" s="2" t="s">
        <v>49</v>
      </c>
      <c r="G22" s="2" t="s">
        <v>50</v>
      </c>
      <c r="H22" s="2" t="s">
        <v>3</v>
      </c>
      <c r="I22" s="2" t="s">
        <v>101</v>
      </c>
      <c r="J22" s="3">
        <v>46462</v>
      </c>
      <c r="K22" s="3" t="s">
        <v>92</v>
      </c>
      <c r="L22" s="4">
        <v>37</v>
      </c>
      <c r="M22" s="41"/>
      <c r="N22" s="40"/>
      <c r="O22" s="6" t="s">
        <v>156</v>
      </c>
      <c r="P22" s="5" t="s">
        <v>6</v>
      </c>
    </row>
    <row r="23" spans="1:16" x14ac:dyDescent="0.45">
      <c r="A23" s="32">
        <v>13111372</v>
      </c>
      <c r="B23" s="32" t="s">
        <v>800</v>
      </c>
      <c r="C23" s="36" t="s">
        <v>0</v>
      </c>
      <c r="D23" s="2" t="s">
        <v>1</v>
      </c>
      <c r="E23" s="5" t="s">
        <v>2</v>
      </c>
      <c r="F23" s="2" t="s">
        <v>51</v>
      </c>
      <c r="G23" s="2" t="s">
        <v>52</v>
      </c>
      <c r="H23" s="2" t="s">
        <v>3</v>
      </c>
      <c r="I23" s="2" t="s">
        <v>102</v>
      </c>
      <c r="J23" s="3">
        <v>46457</v>
      </c>
      <c r="K23" s="3" t="s">
        <v>92</v>
      </c>
      <c r="L23" s="4">
        <v>25</v>
      </c>
      <c r="M23" s="41" t="s">
        <v>142</v>
      </c>
      <c r="N23" s="40">
        <v>11</v>
      </c>
      <c r="O23" s="6" t="s">
        <v>156</v>
      </c>
      <c r="P23" s="5" t="s">
        <v>6</v>
      </c>
    </row>
    <row r="24" spans="1:16" x14ac:dyDescent="0.45">
      <c r="A24" s="32">
        <v>13111372</v>
      </c>
      <c r="B24" s="32" t="s">
        <v>800</v>
      </c>
      <c r="C24" s="36" t="s">
        <v>0</v>
      </c>
      <c r="D24" s="2" t="s">
        <v>1</v>
      </c>
      <c r="E24" s="5" t="s">
        <v>2</v>
      </c>
      <c r="F24" s="2" t="s">
        <v>53</v>
      </c>
      <c r="G24" s="2" t="s">
        <v>10</v>
      </c>
      <c r="H24" s="2" t="s">
        <v>3</v>
      </c>
      <c r="I24" s="2" t="s">
        <v>103</v>
      </c>
      <c r="J24" s="3">
        <v>46477</v>
      </c>
      <c r="K24" s="3" t="s">
        <v>4</v>
      </c>
      <c r="L24" s="4">
        <v>18</v>
      </c>
      <c r="M24" s="41"/>
      <c r="N24" s="40"/>
      <c r="O24" s="6" t="s">
        <v>156</v>
      </c>
      <c r="P24" s="5" t="s">
        <v>6</v>
      </c>
    </row>
    <row r="25" spans="1:16" x14ac:dyDescent="0.45">
      <c r="A25" s="32">
        <v>13111372</v>
      </c>
      <c r="B25" s="32" t="s">
        <v>800</v>
      </c>
      <c r="C25" s="36" t="s">
        <v>0</v>
      </c>
      <c r="D25" s="2" t="s">
        <v>1</v>
      </c>
      <c r="E25" s="5" t="s">
        <v>2</v>
      </c>
      <c r="F25" s="2" t="s">
        <v>53</v>
      </c>
      <c r="G25" s="2" t="s">
        <v>10</v>
      </c>
      <c r="H25" s="2" t="s">
        <v>3</v>
      </c>
      <c r="I25" s="2" t="s">
        <v>104</v>
      </c>
      <c r="J25" s="3">
        <v>46691</v>
      </c>
      <c r="K25" s="3" t="s">
        <v>4</v>
      </c>
      <c r="L25" s="4">
        <v>10</v>
      </c>
      <c r="M25" s="41"/>
      <c r="N25" s="40"/>
      <c r="O25" s="6" t="s">
        <v>156</v>
      </c>
      <c r="P25" s="5" t="s">
        <v>6</v>
      </c>
    </row>
    <row r="26" spans="1:16" x14ac:dyDescent="0.45">
      <c r="A26" s="32">
        <v>13111372</v>
      </c>
      <c r="B26" s="32" t="s">
        <v>800</v>
      </c>
      <c r="C26" s="36" t="s">
        <v>0</v>
      </c>
      <c r="D26" s="2" t="s">
        <v>1</v>
      </c>
      <c r="E26" s="5" t="s">
        <v>2</v>
      </c>
      <c r="F26" s="2" t="s">
        <v>54</v>
      </c>
      <c r="G26" s="2" t="s">
        <v>55</v>
      </c>
      <c r="H26" s="2" t="s">
        <v>3</v>
      </c>
      <c r="I26" s="2" t="s">
        <v>105</v>
      </c>
      <c r="J26" s="3">
        <v>46301</v>
      </c>
      <c r="K26" s="3" t="s">
        <v>13</v>
      </c>
      <c r="L26" s="4">
        <v>29</v>
      </c>
      <c r="M26" s="41" t="s">
        <v>143</v>
      </c>
      <c r="N26" s="40">
        <v>12</v>
      </c>
      <c r="O26" s="6" t="s">
        <v>156</v>
      </c>
      <c r="P26" s="5" t="s">
        <v>6</v>
      </c>
    </row>
    <row r="27" spans="1:16" x14ac:dyDescent="0.45">
      <c r="A27" s="32">
        <v>13111372</v>
      </c>
      <c r="B27" s="32" t="s">
        <v>800</v>
      </c>
      <c r="C27" s="36" t="s">
        <v>0</v>
      </c>
      <c r="D27" s="2" t="s">
        <v>1</v>
      </c>
      <c r="E27" s="5" t="s">
        <v>2</v>
      </c>
      <c r="F27" s="2" t="s">
        <v>56</v>
      </c>
      <c r="G27" s="2" t="s">
        <v>57</v>
      </c>
      <c r="H27" s="2" t="s">
        <v>3</v>
      </c>
      <c r="I27" s="2" t="s">
        <v>106</v>
      </c>
      <c r="J27" s="3">
        <v>46428</v>
      </c>
      <c r="K27" s="3" t="s">
        <v>13</v>
      </c>
      <c r="L27" s="4">
        <v>23</v>
      </c>
      <c r="M27" s="41"/>
      <c r="N27" s="40"/>
      <c r="O27" s="6" t="s">
        <v>156</v>
      </c>
      <c r="P27" s="5" t="s">
        <v>6</v>
      </c>
    </row>
    <row r="28" spans="1:16" x14ac:dyDescent="0.45">
      <c r="A28" s="32">
        <v>13111372</v>
      </c>
      <c r="B28" s="32" t="s">
        <v>800</v>
      </c>
      <c r="C28" s="36" t="s">
        <v>0</v>
      </c>
      <c r="D28" s="2" t="s">
        <v>1</v>
      </c>
      <c r="E28" s="5" t="s">
        <v>2</v>
      </c>
      <c r="F28" s="2" t="s">
        <v>54</v>
      </c>
      <c r="G28" s="2" t="s">
        <v>55</v>
      </c>
      <c r="H28" s="2" t="s">
        <v>3</v>
      </c>
      <c r="I28" s="2" t="s">
        <v>107</v>
      </c>
      <c r="J28" s="3">
        <v>46336</v>
      </c>
      <c r="K28" s="3" t="s">
        <v>13</v>
      </c>
      <c r="L28" s="4">
        <v>30</v>
      </c>
      <c r="M28" s="41" t="s">
        <v>144</v>
      </c>
      <c r="N28" s="40">
        <v>13</v>
      </c>
      <c r="O28" s="6" t="s">
        <v>156</v>
      </c>
      <c r="P28" s="5" t="s">
        <v>6</v>
      </c>
    </row>
    <row r="29" spans="1:16" x14ac:dyDescent="0.45">
      <c r="A29" s="32">
        <v>13111372</v>
      </c>
      <c r="B29" s="32" t="s">
        <v>800</v>
      </c>
      <c r="C29" s="36" t="s">
        <v>0</v>
      </c>
      <c r="D29" s="2" t="s">
        <v>1</v>
      </c>
      <c r="E29" s="5" t="s">
        <v>2</v>
      </c>
      <c r="F29" s="2" t="s">
        <v>58</v>
      </c>
      <c r="G29" s="2" t="s">
        <v>59</v>
      </c>
      <c r="H29" s="2" t="s">
        <v>3</v>
      </c>
      <c r="I29" s="2" t="s">
        <v>108</v>
      </c>
      <c r="J29" s="3">
        <v>46264</v>
      </c>
      <c r="K29" s="3" t="s">
        <v>13</v>
      </c>
      <c r="L29" s="4">
        <v>23</v>
      </c>
      <c r="M29" s="41"/>
      <c r="N29" s="40"/>
      <c r="O29" s="6" t="s">
        <v>156</v>
      </c>
      <c r="P29" s="5" t="s">
        <v>6</v>
      </c>
    </row>
    <row r="30" spans="1:16" x14ac:dyDescent="0.45">
      <c r="A30" s="32">
        <v>13111372</v>
      </c>
      <c r="B30" s="32" t="s">
        <v>800</v>
      </c>
      <c r="C30" s="36" t="s">
        <v>0</v>
      </c>
      <c r="D30" s="2" t="s">
        <v>1</v>
      </c>
      <c r="E30" s="5" t="s">
        <v>2</v>
      </c>
      <c r="F30" s="2" t="s">
        <v>60</v>
      </c>
      <c r="G30" s="2" t="s">
        <v>61</v>
      </c>
      <c r="H30" s="2" t="s">
        <v>3</v>
      </c>
      <c r="I30" s="2" t="s">
        <v>109</v>
      </c>
      <c r="J30" s="3">
        <v>46257</v>
      </c>
      <c r="K30" s="3" t="s">
        <v>13</v>
      </c>
      <c r="L30" s="4">
        <v>24</v>
      </c>
      <c r="M30" s="41" t="s">
        <v>145</v>
      </c>
      <c r="N30" s="40">
        <v>14</v>
      </c>
      <c r="O30" s="6" t="s">
        <v>156</v>
      </c>
      <c r="P30" s="5" t="s">
        <v>6</v>
      </c>
    </row>
    <row r="31" spans="1:16" x14ac:dyDescent="0.45">
      <c r="A31" s="32">
        <v>13111372</v>
      </c>
      <c r="B31" s="32" t="s">
        <v>800</v>
      </c>
      <c r="C31" s="36" t="s">
        <v>0</v>
      </c>
      <c r="D31" s="2" t="s">
        <v>1</v>
      </c>
      <c r="E31" s="5" t="s">
        <v>2</v>
      </c>
      <c r="F31" s="2" t="s">
        <v>62</v>
      </c>
      <c r="G31" s="2" t="s">
        <v>63</v>
      </c>
      <c r="H31" s="2" t="s">
        <v>3</v>
      </c>
      <c r="I31" s="2" t="s">
        <v>110</v>
      </c>
      <c r="J31" s="3">
        <v>46573</v>
      </c>
      <c r="K31" s="3" t="s">
        <v>4</v>
      </c>
      <c r="L31" s="4">
        <v>35</v>
      </c>
      <c r="M31" s="41"/>
      <c r="N31" s="40"/>
      <c r="O31" s="6" t="s">
        <v>156</v>
      </c>
      <c r="P31" s="5" t="s">
        <v>6</v>
      </c>
    </row>
    <row r="32" spans="1:16" x14ac:dyDescent="0.45">
      <c r="A32" s="32">
        <v>13111372</v>
      </c>
      <c r="B32" s="32" t="s">
        <v>800</v>
      </c>
      <c r="C32" s="36" t="s">
        <v>0</v>
      </c>
      <c r="D32" s="2" t="s">
        <v>1</v>
      </c>
      <c r="E32" s="5" t="s">
        <v>2</v>
      </c>
      <c r="F32" s="2" t="s">
        <v>36</v>
      </c>
      <c r="G32" s="2" t="s">
        <v>7</v>
      </c>
      <c r="H32" s="2" t="s">
        <v>3</v>
      </c>
      <c r="I32" s="2" t="s">
        <v>111</v>
      </c>
      <c r="J32" s="3">
        <v>46446</v>
      </c>
      <c r="K32" s="3" t="s">
        <v>4</v>
      </c>
      <c r="L32" s="4">
        <v>15</v>
      </c>
      <c r="M32" s="41" t="s">
        <v>146</v>
      </c>
      <c r="N32" s="40">
        <v>15</v>
      </c>
      <c r="O32" s="6" t="s">
        <v>156</v>
      </c>
      <c r="P32" s="5" t="s">
        <v>6</v>
      </c>
    </row>
    <row r="33" spans="1:16" x14ac:dyDescent="0.45">
      <c r="A33" s="32">
        <v>13111372</v>
      </c>
      <c r="B33" s="32" t="s">
        <v>800</v>
      </c>
      <c r="C33" s="36" t="s">
        <v>0</v>
      </c>
      <c r="D33" s="2" t="s">
        <v>1</v>
      </c>
      <c r="E33" s="5" t="s">
        <v>2</v>
      </c>
      <c r="F33" s="2" t="s">
        <v>36</v>
      </c>
      <c r="G33" s="2" t="s">
        <v>7</v>
      </c>
      <c r="H33" s="2" t="s">
        <v>3</v>
      </c>
      <c r="I33" s="2" t="s">
        <v>112</v>
      </c>
      <c r="J33" s="3">
        <v>46721</v>
      </c>
      <c r="K33" s="3" t="s">
        <v>4</v>
      </c>
      <c r="L33" s="4">
        <v>15</v>
      </c>
      <c r="M33" s="41"/>
      <c r="N33" s="40"/>
      <c r="O33" s="6" t="s">
        <v>156</v>
      </c>
      <c r="P33" s="5" t="s">
        <v>6</v>
      </c>
    </row>
    <row r="34" spans="1:16" x14ac:dyDescent="0.45">
      <c r="A34" s="32">
        <v>13111372</v>
      </c>
      <c r="B34" s="32" t="s">
        <v>800</v>
      </c>
      <c r="C34" s="36" t="s">
        <v>0</v>
      </c>
      <c r="D34" s="2" t="s">
        <v>1</v>
      </c>
      <c r="E34" s="5" t="s">
        <v>2</v>
      </c>
      <c r="F34" s="2" t="s">
        <v>62</v>
      </c>
      <c r="G34" s="2" t="s">
        <v>63</v>
      </c>
      <c r="H34" s="2" t="s">
        <v>3</v>
      </c>
      <c r="I34" s="2" t="s">
        <v>113</v>
      </c>
      <c r="J34" s="3">
        <v>46286</v>
      </c>
      <c r="K34" s="3" t="s">
        <v>87</v>
      </c>
      <c r="L34" s="4">
        <v>17</v>
      </c>
      <c r="M34" s="41"/>
      <c r="N34" s="40"/>
      <c r="O34" s="6" t="s">
        <v>156</v>
      </c>
      <c r="P34" s="5" t="s">
        <v>6</v>
      </c>
    </row>
    <row r="35" spans="1:16" x14ac:dyDescent="0.45">
      <c r="A35" s="32">
        <v>13111372</v>
      </c>
      <c r="B35" s="32" t="s">
        <v>800</v>
      </c>
      <c r="C35" s="36" t="s">
        <v>0</v>
      </c>
      <c r="D35" s="2" t="s">
        <v>1</v>
      </c>
      <c r="E35" s="5" t="s">
        <v>2</v>
      </c>
      <c r="F35" s="2" t="s">
        <v>64</v>
      </c>
      <c r="G35" s="2" t="s">
        <v>65</v>
      </c>
      <c r="H35" s="2" t="s">
        <v>3</v>
      </c>
      <c r="I35" s="2" t="s">
        <v>114</v>
      </c>
      <c r="J35" s="3">
        <v>46352</v>
      </c>
      <c r="K35" s="3" t="s">
        <v>87</v>
      </c>
      <c r="L35" s="4">
        <v>34</v>
      </c>
      <c r="M35" s="41" t="s">
        <v>147</v>
      </c>
      <c r="N35" s="40">
        <v>16</v>
      </c>
      <c r="O35" s="6" t="s">
        <v>156</v>
      </c>
      <c r="P35" s="5" t="s">
        <v>6</v>
      </c>
    </row>
    <row r="36" spans="1:16" x14ac:dyDescent="0.45">
      <c r="A36" s="32">
        <v>13111372</v>
      </c>
      <c r="B36" s="32" t="s">
        <v>800</v>
      </c>
      <c r="C36" s="36" t="s">
        <v>0</v>
      </c>
      <c r="D36" s="2" t="s">
        <v>1</v>
      </c>
      <c r="E36" s="5" t="s">
        <v>2</v>
      </c>
      <c r="F36" s="2" t="s">
        <v>66</v>
      </c>
      <c r="G36" s="2" t="s">
        <v>9</v>
      </c>
      <c r="H36" s="2" t="s">
        <v>3</v>
      </c>
      <c r="I36" s="2" t="s">
        <v>115</v>
      </c>
      <c r="J36" s="3">
        <v>46599</v>
      </c>
      <c r="K36" s="3" t="s">
        <v>4</v>
      </c>
      <c r="L36" s="4">
        <v>26</v>
      </c>
      <c r="M36" s="41"/>
      <c r="N36" s="40"/>
      <c r="O36" s="6" t="s">
        <v>156</v>
      </c>
      <c r="P36" s="5" t="s">
        <v>6</v>
      </c>
    </row>
    <row r="37" spans="1:16" x14ac:dyDescent="0.45">
      <c r="A37" s="32">
        <v>13111372</v>
      </c>
      <c r="B37" s="32" t="s">
        <v>800</v>
      </c>
      <c r="C37" s="36" t="s">
        <v>0</v>
      </c>
      <c r="D37" s="2" t="s">
        <v>1</v>
      </c>
      <c r="E37" s="5" t="s">
        <v>2</v>
      </c>
      <c r="F37" s="2" t="s">
        <v>66</v>
      </c>
      <c r="G37" s="2" t="s">
        <v>9</v>
      </c>
      <c r="H37" s="2" t="s">
        <v>3</v>
      </c>
      <c r="I37" s="2" t="s">
        <v>116</v>
      </c>
      <c r="J37" s="3">
        <v>46356</v>
      </c>
      <c r="K37" s="3" t="s">
        <v>4</v>
      </c>
      <c r="L37" s="4">
        <v>35</v>
      </c>
      <c r="M37" s="41" t="s">
        <v>148</v>
      </c>
      <c r="N37" s="40">
        <v>17</v>
      </c>
      <c r="O37" s="6" t="s">
        <v>156</v>
      </c>
      <c r="P37" s="5" t="s">
        <v>6</v>
      </c>
    </row>
    <row r="38" spans="1:16" x14ac:dyDescent="0.45">
      <c r="A38" s="32">
        <v>13111372</v>
      </c>
      <c r="B38" s="32" t="s">
        <v>800</v>
      </c>
      <c r="C38" s="36" t="s">
        <v>0</v>
      </c>
      <c r="D38" s="2" t="s">
        <v>1</v>
      </c>
      <c r="E38" s="5" t="s">
        <v>2</v>
      </c>
      <c r="F38" s="2" t="s">
        <v>67</v>
      </c>
      <c r="G38" s="2" t="s">
        <v>68</v>
      </c>
      <c r="H38" s="2" t="s">
        <v>3</v>
      </c>
      <c r="I38" s="2" t="s">
        <v>117</v>
      </c>
      <c r="J38" s="3">
        <v>46405</v>
      </c>
      <c r="K38" s="3" t="s">
        <v>13</v>
      </c>
      <c r="L38" s="4">
        <v>20</v>
      </c>
      <c r="M38" s="41"/>
      <c r="N38" s="40"/>
      <c r="O38" s="6" t="s">
        <v>156</v>
      </c>
      <c r="P38" s="5" t="s">
        <v>6</v>
      </c>
    </row>
    <row r="39" spans="1:16" x14ac:dyDescent="0.45">
      <c r="A39" s="32">
        <v>13111372</v>
      </c>
      <c r="B39" s="32" t="s">
        <v>800</v>
      </c>
      <c r="C39" s="36" t="s">
        <v>0</v>
      </c>
      <c r="D39" s="2" t="s">
        <v>1</v>
      </c>
      <c r="E39" s="5" t="s">
        <v>2</v>
      </c>
      <c r="F39" s="2" t="s">
        <v>66</v>
      </c>
      <c r="G39" s="2" t="s">
        <v>9</v>
      </c>
      <c r="H39" s="2" t="s">
        <v>3</v>
      </c>
      <c r="I39" s="2" t="s">
        <v>118</v>
      </c>
      <c r="J39" s="3">
        <v>46507</v>
      </c>
      <c r="K39" s="3" t="s">
        <v>4</v>
      </c>
      <c r="L39" s="4">
        <v>29</v>
      </c>
      <c r="M39" s="41" t="s">
        <v>149</v>
      </c>
      <c r="N39" s="40">
        <v>18</v>
      </c>
      <c r="O39" s="6" t="s">
        <v>156</v>
      </c>
      <c r="P39" s="5" t="s">
        <v>6</v>
      </c>
    </row>
    <row r="40" spans="1:16" x14ac:dyDescent="0.45">
      <c r="A40" s="32">
        <v>13111372</v>
      </c>
      <c r="B40" s="32" t="s">
        <v>800</v>
      </c>
      <c r="C40" s="36" t="s">
        <v>0</v>
      </c>
      <c r="D40" s="2" t="s">
        <v>1</v>
      </c>
      <c r="E40" s="5" t="s">
        <v>2</v>
      </c>
      <c r="F40" s="2" t="s">
        <v>69</v>
      </c>
      <c r="G40" s="2" t="s">
        <v>70</v>
      </c>
      <c r="H40" s="2" t="s">
        <v>3</v>
      </c>
      <c r="I40" s="2" t="s">
        <v>119</v>
      </c>
      <c r="J40" s="3">
        <v>46291</v>
      </c>
      <c r="K40" s="3" t="s">
        <v>13</v>
      </c>
      <c r="L40" s="4">
        <v>23</v>
      </c>
      <c r="M40" s="41"/>
      <c r="N40" s="40"/>
      <c r="O40" s="6" t="s">
        <v>156</v>
      </c>
      <c r="P40" s="5" t="s">
        <v>6</v>
      </c>
    </row>
    <row r="41" spans="1:16" x14ac:dyDescent="0.45">
      <c r="A41" s="32">
        <v>13111372</v>
      </c>
      <c r="B41" s="32" t="s">
        <v>800</v>
      </c>
      <c r="C41" s="36" t="s">
        <v>0</v>
      </c>
      <c r="D41" s="2" t="s">
        <v>1</v>
      </c>
      <c r="E41" s="5" t="s">
        <v>2</v>
      </c>
      <c r="F41" s="2" t="s">
        <v>69</v>
      </c>
      <c r="G41" s="2" t="s">
        <v>70</v>
      </c>
      <c r="H41" s="2" t="s">
        <v>3</v>
      </c>
      <c r="I41" s="2" t="s">
        <v>120</v>
      </c>
      <c r="J41" s="3">
        <v>46263</v>
      </c>
      <c r="K41" s="3" t="s">
        <v>13</v>
      </c>
      <c r="L41" s="4">
        <v>17</v>
      </c>
      <c r="M41" s="41" t="s">
        <v>150</v>
      </c>
      <c r="N41" s="40">
        <v>19</v>
      </c>
      <c r="O41" s="6" t="s">
        <v>156</v>
      </c>
      <c r="P41" s="5" t="s">
        <v>6</v>
      </c>
    </row>
    <row r="42" spans="1:16" x14ac:dyDescent="0.45">
      <c r="A42" s="32">
        <v>13111372</v>
      </c>
      <c r="B42" s="32" t="s">
        <v>800</v>
      </c>
      <c r="C42" s="36" t="s">
        <v>0</v>
      </c>
      <c r="D42" s="2" t="s">
        <v>1</v>
      </c>
      <c r="E42" s="5" t="s">
        <v>2</v>
      </c>
      <c r="F42" s="2" t="s">
        <v>69</v>
      </c>
      <c r="G42" s="2" t="s">
        <v>70</v>
      </c>
      <c r="H42" s="2" t="s">
        <v>3</v>
      </c>
      <c r="I42" s="2" t="s">
        <v>121</v>
      </c>
      <c r="J42" s="3">
        <v>46330</v>
      </c>
      <c r="K42" s="3" t="s">
        <v>13</v>
      </c>
      <c r="L42" s="4">
        <v>18</v>
      </c>
      <c r="M42" s="41"/>
      <c r="N42" s="40"/>
      <c r="O42" s="6" t="s">
        <v>156</v>
      </c>
      <c r="P42" s="5" t="s">
        <v>6</v>
      </c>
    </row>
    <row r="43" spans="1:16" x14ac:dyDescent="0.45">
      <c r="A43" s="32">
        <v>13111372</v>
      </c>
      <c r="B43" s="32" t="s">
        <v>800</v>
      </c>
      <c r="C43" s="36" t="s">
        <v>0</v>
      </c>
      <c r="D43" s="2" t="s">
        <v>1</v>
      </c>
      <c r="E43" s="5" t="s">
        <v>2</v>
      </c>
      <c r="F43" s="2" t="s">
        <v>71</v>
      </c>
      <c r="G43" s="2" t="s">
        <v>72</v>
      </c>
      <c r="H43" s="2" t="s">
        <v>3</v>
      </c>
      <c r="I43" s="2" t="s">
        <v>122</v>
      </c>
      <c r="J43" s="3">
        <v>46660</v>
      </c>
      <c r="K43" s="3" t="s">
        <v>4</v>
      </c>
      <c r="L43" s="4">
        <v>25</v>
      </c>
      <c r="M43" s="41"/>
      <c r="N43" s="40"/>
      <c r="O43" s="6" t="s">
        <v>156</v>
      </c>
      <c r="P43" s="5" t="s">
        <v>6</v>
      </c>
    </row>
    <row r="44" spans="1:16" x14ac:dyDescent="0.45">
      <c r="A44" s="32">
        <v>13111372</v>
      </c>
      <c r="B44" s="32" t="s">
        <v>800</v>
      </c>
      <c r="C44" s="36" t="s">
        <v>0</v>
      </c>
      <c r="D44" s="2" t="s">
        <v>1</v>
      </c>
      <c r="E44" s="5" t="s">
        <v>2</v>
      </c>
      <c r="F44" s="2" t="s">
        <v>67</v>
      </c>
      <c r="G44" s="2" t="s">
        <v>68</v>
      </c>
      <c r="H44" s="2" t="s">
        <v>3</v>
      </c>
      <c r="I44" s="2" t="s">
        <v>123</v>
      </c>
      <c r="J44" s="3">
        <v>46385</v>
      </c>
      <c r="K44" s="3" t="s">
        <v>13</v>
      </c>
      <c r="L44" s="4">
        <v>35</v>
      </c>
      <c r="M44" s="41" t="s">
        <v>151</v>
      </c>
      <c r="N44" s="40">
        <v>20</v>
      </c>
      <c r="O44" s="6" t="s">
        <v>156</v>
      </c>
      <c r="P44" s="5" t="s">
        <v>6</v>
      </c>
    </row>
    <row r="45" spans="1:16" x14ac:dyDescent="0.45">
      <c r="A45" s="32">
        <v>13111372</v>
      </c>
      <c r="B45" s="32" t="s">
        <v>800</v>
      </c>
      <c r="C45" s="36" t="s">
        <v>0</v>
      </c>
      <c r="D45" s="2" t="s">
        <v>1</v>
      </c>
      <c r="E45" s="5" t="s">
        <v>2</v>
      </c>
      <c r="F45" s="2" t="s">
        <v>73</v>
      </c>
      <c r="G45" s="2" t="s">
        <v>74</v>
      </c>
      <c r="H45" s="2" t="s">
        <v>3</v>
      </c>
      <c r="I45" s="2" t="s">
        <v>124</v>
      </c>
      <c r="J45" s="3">
        <v>46394</v>
      </c>
      <c r="K45" s="3" t="s">
        <v>13</v>
      </c>
      <c r="L45" s="4">
        <v>21</v>
      </c>
      <c r="M45" s="41"/>
      <c r="N45" s="40"/>
      <c r="O45" s="6" t="s">
        <v>156</v>
      </c>
      <c r="P45" s="5" t="s">
        <v>6</v>
      </c>
    </row>
    <row r="46" spans="1:16" x14ac:dyDescent="0.45">
      <c r="A46" s="32">
        <v>13111372</v>
      </c>
      <c r="B46" s="32" t="s">
        <v>800</v>
      </c>
      <c r="C46" s="36" t="s">
        <v>0</v>
      </c>
      <c r="D46" s="2" t="s">
        <v>1</v>
      </c>
      <c r="E46" s="5" t="s">
        <v>2</v>
      </c>
      <c r="F46" s="2" t="s">
        <v>75</v>
      </c>
      <c r="G46" s="2" t="s">
        <v>76</v>
      </c>
      <c r="H46" s="2" t="s">
        <v>3</v>
      </c>
      <c r="I46" s="2" t="s">
        <v>125</v>
      </c>
      <c r="J46" s="3">
        <v>46638</v>
      </c>
      <c r="K46" s="3" t="s">
        <v>13</v>
      </c>
      <c r="L46" s="4">
        <v>33</v>
      </c>
      <c r="M46" s="41" t="s">
        <v>152</v>
      </c>
      <c r="N46" s="40">
        <v>21</v>
      </c>
      <c r="O46" s="6" t="s">
        <v>156</v>
      </c>
      <c r="P46" s="5" t="s">
        <v>6</v>
      </c>
    </row>
    <row r="47" spans="1:16" x14ac:dyDescent="0.45">
      <c r="A47" s="32">
        <v>13111372</v>
      </c>
      <c r="B47" s="32" t="s">
        <v>800</v>
      </c>
      <c r="C47" s="36" t="s">
        <v>0</v>
      </c>
      <c r="D47" s="2" t="s">
        <v>1</v>
      </c>
      <c r="E47" s="5" t="s">
        <v>2</v>
      </c>
      <c r="F47" s="2" t="s">
        <v>77</v>
      </c>
      <c r="G47" s="2" t="s">
        <v>12</v>
      </c>
      <c r="H47" s="2" t="s">
        <v>3</v>
      </c>
      <c r="I47" s="2" t="s">
        <v>126</v>
      </c>
      <c r="J47" s="3">
        <v>46744</v>
      </c>
      <c r="K47" s="3" t="s">
        <v>13</v>
      </c>
      <c r="L47" s="4">
        <v>21</v>
      </c>
      <c r="M47" s="41"/>
      <c r="N47" s="40"/>
      <c r="O47" s="6" t="s">
        <v>156</v>
      </c>
      <c r="P47" s="5" t="s">
        <v>6</v>
      </c>
    </row>
    <row r="48" spans="1:16" x14ac:dyDescent="0.45">
      <c r="A48" s="32">
        <v>13111372</v>
      </c>
      <c r="B48" s="32" t="s">
        <v>800</v>
      </c>
      <c r="C48" s="36" t="s">
        <v>0</v>
      </c>
      <c r="D48" s="2" t="s">
        <v>1</v>
      </c>
      <c r="E48" s="5" t="s">
        <v>2</v>
      </c>
      <c r="F48" s="2" t="s">
        <v>75</v>
      </c>
      <c r="G48" s="2" t="s">
        <v>76</v>
      </c>
      <c r="H48" s="2" t="s">
        <v>3</v>
      </c>
      <c r="I48" s="2" t="s">
        <v>127</v>
      </c>
      <c r="J48" s="3">
        <v>46343</v>
      </c>
      <c r="K48" s="3" t="s">
        <v>13</v>
      </c>
      <c r="L48" s="4">
        <v>32</v>
      </c>
      <c r="M48" s="41" t="s">
        <v>153</v>
      </c>
      <c r="N48" s="40">
        <v>22</v>
      </c>
      <c r="O48" s="6" t="s">
        <v>156</v>
      </c>
      <c r="P48" s="5" t="s">
        <v>6</v>
      </c>
    </row>
    <row r="49" spans="1:16" x14ac:dyDescent="0.45">
      <c r="A49" s="32">
        <v>13111372</v>
      </c>
      <c r="B49" s="32" t="s">
        <v>800</v>
      </c>
      <c r="C49" s="36" t="s">
        <v>0</v>
      </c>
      <c r="D49" s="2" t="s">
        <v>1</v>
      </c>
      <c r="E49" s="5" t="s">
        <v>2</v>
      </c>
      <c r="F49" s="2" t="s">
        <v>78</v>
      </c>
      <c r="G49" s="2" t="s">
        <v>11</v>
      </c>
      <c r="H49" s="2" t="s">
        <v>3</v>
      </c>
      <c r="I49" s="2" t="s">
        <v>128</v>
      </c>
      <c r="J49" s="3">
        <v>46691</v>
      </c>
      <c r="K49" s="3" t="s">
        <v>4</v>
      </c>
      <c r="L49" s="4">
        <v>16</v>
      </c>
      <c r="M49" s="41"/>
      <c r="N49" s="40"/>
      <c r="O49" s="6" t="s">
        <v>156</v>
      </c>
      <c r="P49" s="5" t="s">
        <v>6</v>
      </c>
    </row>
    <row r="50" spans="1:16" x14ac:dyDescent="0.45">
      <c r="A50" s="32">
        <v>13111372</v>
      </c>
      <c r="B50" s="32" t="s">
        <v>800</v>
      </c>
      <c r="C50" s="36" t="s">
        <v>0</v>
      </c>
      <c r="D50" s="2" t="s">
        <v>1</v>
      </c>
      <c r="E50" s="5" t="s">
        <v>2</v>
      </c>
      <c r="F50" s="2" t="s">
        <v>79</v>
      </c>
      <c r="G50" s="2" t="s">
        <v>8</v>
      </c>
      <c r="H50" s="2" t="s">
        <v>3</v>
      </c>
      <c r="I50" s="2" t="s">
        <v>129</v>
      </c>
      <c r="J50" s="3">
        <v>46483</v>
      </c>
      <c r="K50" s="3" t="s">
        <v>4</v>
      </c>
      <c r="L50" s="4">
        <v>53</v>
      </c>
      <c r="M50" s="12" t="s">
        <v>154</v>
      </c>
      <c r="N50" s="36">
        <v>23</v>
      </c>
      <c r="O50" s="6" t="s">
        <v>156</v>
      </c>
      <c r="P50" s="5" t="s">
        <v>6</v>
      </c>
    </row>
    <row r="51" spans="1:16" x14ac:dyDescent="0.45">
      <c r="A51" s="5"/>
      <c r="B51" s="5"/>
      <c r="C51" s="5"/>
      <c r="D51" s="42" t="s">
        <v>157</v>
      </c>
      <c r="E51" s="42"/>
      <c r="F51" s="42"/>
      <c r="G51" s="42"/>
      <c r="H51" s="42"/>
      <c r="I51" s="42"/>
      <c r="J51" s="42"/>
      <c r="K51" s="42"/>
      <c r="L51" s="7">
        <f>SUM(L3:L50)</f>
        <v>1307</v>
      </c>
      <c r="M51" s="38" t="s">
        <v>155</v>
      </c>
      <c r="N51" s="38" t="s">
        <v>799</v>
      </c>
      <c r="O51" s="5"/>
      <c r="P51" s="5"/>
    </row>
  </sheetData>
  <autoFilter ref="A2:P51" xr:uid="{A28AB2EE-C30E-4FB4-A792-8FFD934B1B72}"/>
  <mergeCells count="45"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5"/>
    <mergeCell ref="M26:M27"/>
    <mergeCell ref="M28:M29"/>
    <mergeCell ref="M30:M31"/>
    <mergeCell ref="M32:M34"/>
    <mergeCell ref="M35:M36"/>
    <mergeCell ref="M37:M38"/>
    <mergeCell ref="M39:M40"/>
    <mergeCell ref="M41:M43"/>
    <mergeCell ref="M44:M45"/>
    <mergeCell ref="M46:M47"/>
    <mergeCell ref="M48:M49"/>
    <mergeCell ref="D51:K51"/>
    <mergeCell ref="N48:N49"/>
    <mergeCell ref="N46:N47"/>
    <mergeCell ref="N44:N45"/>
    <mergeCell ref="N41:N43"/>
    <mergeCell ref="N39:N40"/>
    <mergeCell ref="N37:N38"/>
    <mergeCell ref="N35:N36"/>
    <mergeCell ref="N32:N34"/>
    <mergeCell ref="N30:N31"/>
    <mergeCell ref="N28:N29"/>
    <mergeCell ref="N26:N27"/>
    <mergeCell ref="N23:N25"/>
    <mergeCell ref="N21:N22"/>
    <mergeCell ref="N19:N20"/>
    <mergeCell ref="N17:N18"/>
    <mergeCell ref="N5:N6"/>
    <mergeCell ref="N3:N4"/>
    <mergeCell ref="N15:N16"/>
    <mergeCell ref="N13:N14"/>
    <mergeCell ref="N11:N12"/>
    <mergeCell ref="N9:N10"/>
    <mergeCell ref="N7:N8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A810-6125-4A3B-9C80-4364C4723220}">
  <dimension ref="A1:P143"/>
  <sheetViews>
    <sheetView workbookViewId="0">
      <selection activeCell="G23" sqref="G23"/>
    </sheetView>
  </sheetViews>
  <sheetFormatPr defaultRowHeight="14.25" x14ac:dyDescent="0.45"/>
  <cols>
    <col min="1" max="1" width="9.59765625" bestFit="1" customWidth="1"/>
    <col min="2" max="2" width="20" bestFit="1" customWidth="1"/>
    <col min="3" max="3" width="8.59765625" bestFit="1" customWidth="1"/>
    <col min="4" max="4" width="5.59765625" bestFit="1" customWidth="1"/>
    <col min="5" max="5" width="20.73046875" bestFit="1" customWidth="1"/>
    <col min="6" max="6" width="8.73046875" bestFit="1" customWidth="1"/>
    <col min="7" max="7" width="43.73046875" bestFit="1" customWidth="1"/>
    <col min="8" max="8" width="7.86328125" bestFit="1" customWidth="1"/>
    <col min="9" max="9" width="11" bestFit="1" customWidth="1"/>
    <col min="10" max="10" width="11.3984375" bestFit="1" customWidth="1"/>
    <col min="11" max="11" width="21.59765625" bestFit="1" customWidth="1"/>
    <col min="12" max="13" width="22.73046875" bestFit="1" customWidth="1"/>
    <col min="14" max="14" width="22.73046875" customWidth="1"/>
    <col min="15" max="15" width="15.265625" bestFit="1" customWidth="1"/>
    <col min="16" max="16" width="19.1328125" bestFit="1" customWidth="1"/>
  </cols>
  <sheetData>
    <row r="1" spans="1:16" x14ac:dyDescent="0.45">
      <c r="A1" s="10" t="s">
        <v>27</v>
      </c>
      <c r="B1" s="10" t="s">
        <v>28</v>
      </c>
      <c r="C1" s="13" t="s">
        <v>14</v>
      </c>
      <c r="D1" s="14" t="s">
        <v>15</v>
      </c>
      <c r="E1" s="14" t="s">
        <v>31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21</v>
      </c>
      <c r="K1" s="23" t="s">
        <v>22</v>
      </c>
      <c r="L1" s="11" t="s">
        <v>130</v>
      </c>
      <c r="M1" s="24" t="s">
        <v>131</v>
      </c>
      <c r="N1" s="27" t="s">
        <v>159</v>
      </c>
      <c r="O1" s="14" t="s">
        <v>160</v>
      </c>
      <c r="P1" s="14" t="s">
        <v>238</v>
      </c>
    </row>
    <row r="2" spans="1:16" x14ac:dyDescent="0.45">
      <c r="A2" s="5">
        <v>13111368</v>
      </c>
      <c r="B2" s="5" t="s">
        <v>794</v>
      </c>
      <c r="C2" s="16" t="s">
        <v>0</v>
      </c>
      <c r="D2" s="2" t="s">
        <v>239</v>
      </c>
      <c r="E2" s="2" t="s">
        <v>240</v>
      </c>
      <c r="F2" s="2" t="s">
        <v>241</v>
      </c>
      <c r="G2" s="2" t="s">
        <v>242</v>
      </c>
      <c r="H2" s="2" t="s">
        <v>243</v>
      </c>
      <c r="I2" s="2" t="s">
        <v>244</v>
      </c>
      <c r="J2" s="3">
        <v>46477</v>
      </c>
      <c r="K2" s="3" t="s">
        <v>4</v>
      </c>
      <c r="L2" s="4">
        <v>31</v>
      </c>
      <c r="M2" s="25" t="s">
        <v>132</v>
      </c>
      <c r="N2" s="25">
        <v>1</v>
      </c>
      <c r="O2" s="5" t="s">
        <v>224</v>
      </c>
      <c r="P2" s="4" t="s">
        <v>237</v>
      </c>
    </row>
    <row r="3" spans="1:16" x14ac:dyDescent="0.45">
      <c r="A3" s="5">
        <v>13111368</v>
      </c>
      <c r="B3" s="5" t="s">
        <v>794</v>
      </c>
      <c r="C3" s="16" t="s">
        <v>0</v>
      </c>
      <c r="D3" s="2" t="s">
        <v>239</v>
      </c>
      <c r="E3" s="2" t="s">
        <v>245</v>
      </c>
      <c r="F3" s="2" t="s">
        <v>246</v>
      </c>
      <c r="G3" s="2" t="s">
        <v>247</v>
      </c>
      <c r="H3" s="2" t="s">
        <v>243</v>
      </c>
      <c r="I3" s="2" t="s">
        <v>248</v>
      </c>
      <c r="J3" s="3">
        <v>46449</v>
      </c>
      <c r="K3" s="3" t="s">
        <v>13</v>
      </c>
      <c r="L3" s="4">
        <v>31</v>
      </c>
      <c r="M3" s="43" t="s">
        <v>249</v>
      </c>
      <c r="N3" s="43">
        <v>2</v>
      </c>
      <c r="O3" s="17" t="s">
        <v>168</v>
      </c>
      <c r="P3" s="4" t="s">
        <v>237</v>
      </c>
    </row>
    <row r="4" spans="1:16" x14ac:dyDescent="0.45">
      <c r="A4" s="5">
        <v>13111368</v>
      </c>
      <c r="B4" s="5" t="s">
        <v>794</v>
      </c>
      <c r="C4" s="16" t="s">
        <v>0</v>
      </c>
      <c r="D4" s="2" t="s">
        <v>239</v>
      </c>
      <c r="E4" s="2" t="s">
        <v>250</v>
      </c>
      <c r="F4" s="2" t="s">
        <v>251</v>
      </c>
      <c r="G4" s="2" t="s">
        <v>252</v>
      </c>
      <c r="H4" s="2" t="s">
        <v>243</v>
      </c>
      <c r="I4" s="2" t="s">
        <v>253</v>
      </c>
      <c r="J4" s="3">
        <v>46630</v>
      </c>
      <c r="K4" s="3" t="s">
        <v>4</v>
      </c>
      <c r="L4" s="4">
        <v>64</v>
      </c>
      <c r="M4" s="43"/>
      <c r="N4" s="43"/>
      <c r="O4" s="17" t="s">
        <v>168</v>
      </c>
      <c r="P4" s="4" t="s">
        <v>237</v>
      </c>
    </row>
    <row r="5" spans="1:16" x14ac:dyDescent="0.45">
      <c r="A5" s="5">
        <v>13111368</v>
      </c>
      <c r="B5" s="5" t="s">
        <v>794</v>
      </c>
      <c r="C5" s="16" t="s">
        <v>0</v>
      </c>
      <c r="D5" s="2" t="s">
        <v>239</v>
      </c>
      <c r="E5" s="2" t="s">
        <v>254</v>
      </c>
      <c r="F5" s="2" t="s">
        <v>251</v>
      </c>
      <c r="G5" s="2" t="s">
        <v>252</v>
      </c>
      <c r="H5" s="2" t="s">
        <v>243</v>
      </c>
      <c r="I5" s="2" t="s">
        <v>255</v>
      </c>
      <c r="J5" s="3">
        <v>46538</v>
      </c>
      <c r="K5" s="3" t="s">
        <v>4</v>
      </c>
      <c r="L5" s="4">
        <v>45</v>
      </c>
      <c r="M5" s="43" t="s">
        <v>256</v>
      </c>
      <c r="N5" s="43">
        <v>3</v>
      </c>
      <c r="O5" s="17" t="s">
        <v>168</v>
      </c>
      <c r="P5" s="4" t="s">
        <v>237</v>
      </c>
    </row>
    <row r="6" spans="1:16" x14ac:dyDescent="0.45">
      <c r="A6" s="5">
        <v>13111368</v>
      </c>
      <c r="B6" s="5" t="s">
        <v>794</v>
      </c>
      <c r="C6" s="16" t="s">
        <v>0</v>
      </c>
      <c r="D6" s="2" t="s">
        <v>239</v>
      </c>
      <c r="E6" s="2" t="s">
        <v>257</v>
      </c>
      <c r="F6" s="2" t="s">
        <v>251</v>
      </c>
      <c r="G6" s="2" t="s">
        <v>252</v>
      </c>
      <c r="H6" s="2" t="s">
        <v>243</v>
      </c>
      <c r="I6" s="2" t="s">
        <v>258</v>
      </c>
      <c r="J6" s="3">
        <v>46538</v>
      </c>
      <c r="K6" s="3" t="s">
        <v>4</v>
      </c>
      <c r="L6" s="4">
        <v>41</v>
      </c>
      <c r="M6" s="43"/>
      <c r="N6" s="43"/>
      <c r="O6" s="17" t="s">
        <v>168</v>
      </c>
      <c r="P6" s="4" t="s">
        <v>237</v>
      </c>
    </row>
    <row r="7" spans="1:16" x14ac:dyDescent="0.45">
      <c r="A7" s="5">
        <v>13111368</v>
      </c>
      <c r="B7" s="5" t="s">
        <v>794</v>
      </c>
      <c r="C7" s="16" t="s">
        <v>0</v>
      </c>
      <c r="D7" s="2" t="s">
        <v>239</v>
      </c>
      <c r="E7" s="2" t="s">
        <v>259</v>
      </c>
      <c r="F7" s="2" t="s">
        <v>260</v>
      </c>
      <c r="G7" s="2" t="s">
        <v>261</v>
      </c>
      <c r="H7" s="2" t="s">
        <v>243</v>
      </c>
      <c r="I7" s="2" t="s">
        <v>262</v>
      </c>
      <c r="J7" s="3">
        <v>46422</v>
      </c>
      <c r="K7" s="3" t="s">
        <v>13</v>
      </c>
      <c r="L7" s="4">
        <v>19</v>
      </c>
      <c r="M7" s="43"/>
      <c r="N7" s="43"/>
      <c r="O7" s="17" t="s">
        <v>168</v>
      </c>
      <c r="P7" s="4" t="s">
        <v>237</v>
      </c>
    </row>
    <row r="8" spans="1:16" x14ac:dyDescent="0.45">
      <c r="A8" s="5">
        <v>13111368</v>
      </c>
      <c r="B8" s="5" t="s">
        <v>794</v>
      </c>
      <c r="C8" s="16" t="s">
        <v>0</v>
      </c>
      <c r="D8" s="2" t="s">
        <v>239</v>
      </c>
      <c r="E8" s="2" t="s">
        <v>263</v>
      </c>
      <c r="F8" s="2" t="s">
        <v>251</v>
      </c>
      <c r="G8" s="2" t="s">
        <v>252</v>
      </c>
      <c r="H8" s="2" t="s">
        <v>243</v>
      </c>
      <c r="I8" s="2" t="s">
        <v>264</v>
      </c>
      <c r="J8" s="3">
        <v>46568</v>
      </c>
      <c r="K8" s="3" t="s">
        <v>4</v>
      </c>
      <c r="L8" s="4">
        <v>48</v>
      </c>
      <c r="M8" s="43" t="s">
        <v>265</v>
      </c>
      <c r="N8" s="43">
        <v>4</v>
      </c>
      <c r="O8" s="17" t="s">
        <v>168</v>
      </c>
      <c r="P8" s="4" t="s">
        <v>237</v>
      </c>
    </row>
    <row r="9" spans="1:16" x14ac:dyDescent="0.45">
      <c r="A9" s="5">
        <v>13111368</v>
      </c>
      <c r="B9" s="5" t="s">
        <v>794</v>
      </c>
      <c r="C9" s="16" t="s">
        <v>0</v>
      </c>
      <c r="D9" s="2" t="s">
        <v>239</v>
      </c>
      <c r="E9" s="2" t="s">
        <v>266</v>
      </c>
      <c r="F9" s="2" t="s">
        <v>267</v>
      </c>
      <c r="G9" s="2" t="s">
        <v>268</v>
      </c>
      <c r="H9" s="2" t="s">
        <v>243</v>
      </c>
      <c r="I9" s="2" t="s">
        <v>269</v>
      </c>
      <c r="J9" s="3">
        <v>46538</v>
      </c>
      <c r="K9" s="3" t="s">
        <v>4</v>
      </c>
      <c r="L9" s="4">
        <v>55</v>
      </c>
      <c r="M9" s="43"/>
      <c r="N9" s="43"/>
      <c r="O9" s="17" t="s">
        <v>168</v>
      </c>
      <c r="P9" s="4" t="s">
        <v>237</v>
      </c>
    </row>
    <row r="10" spans="1:16" x14ac:dyDescent="0.45">
      <c r="A10" s="5">
        <v>13111368</v>
      </c>
      <c r="B10" s="5" t="s">
        <v>794</v>
      </c>
      <c r="C10" s="16" t="s">
        <v>0</v>
      </c>
      <c r="D10" s="2" t="s">
        <v>239</v>
      </c>
      <c r="E10" s="2" t="s">
        <v>270</v>
      </c>
      <c r="F10" s="2" t="s">
        <v>271</v>
      </c>
      <c r="G10" s="2" t="s">
        <v>272</v>
      </c>
      <c r="H10" s="2" t="s">
        <v>243</v>
      </c>
      <c r="I10" s="2" t="s">
        <v>273</v>
      </c>
      <c r="J10" s="3">
        <v>46495</v>
      </c>
      <c r="K10" s="3" t="s">
        <v>13</v>
      </c>
      <c r="L10" s="4">
        <v>40</v>
      </c>
      <c r="M10" s="43" t="s">
        <v>274</v>
      </c>
      <c r="N10" s="43">
        <v>5</v>
      </c>
      <c r="O10" s="17" t="s">
        <v>168</v>
      </c>
      <c r="P10" s="4" t="s">
        <v>237</v>
      </c>
    </row>
    <row r="11" spans="1:16" x14ac:dyDescent="0.45">
      <c r="A11" s="5">
        <v>13111368</v>
      </c>
      <c r="B11" s="5" t="s">
        <v>794</v>
      </c>
      <c r="C11" s="16" t="s">
        <v>0</v>
      </c>
      <c r="D11" s="2" t="s">
        <v>239</v>
      </c>
      <c r="E11" s="2" t="s">
        <v>275</v>
      </c>
      <c r="F11" s="2" t="s">
        <v>276</v>
      </c>
      <c r="G11" s="2" t="s">
        <v>277</v>
      </c>
      <c r="H11" s="2" t="s">
        <v>243</v>
      </c>
      <c r="I11" s="2" t="s">
        <v>278</v>
      </c>
      <c r="J11" s="3">
        <v>46538</v>
      </c>
      <c r="K11" s="3" t="s">
        <v>4</v>
      </c>
      <c r="L11" s="4">
        <v>64</v>
      </c>
      <c r="M11" s="43"/>
      <c r="N11" s="43"/>
      <c r="O11" s="17" t="s">
        <v>168</v>
      </c>
      <c r="P11" s="4" t="s">
        <v>237</v>
      </c>
    </row>
    <row r="12" spans="1:16" x14ac:dyDescent="0.45">
      <c r="A12" s="5">
        <v>13111368</v>
      </c>
      <c r="B12" s="5" t="s">
        <v>794</v>
      </c>
      <c r="C12" s="16" t="s">
        <v>0</v>
      </c>
      <c r="D12" s="2" t="s">
        <v>239</v>
      </c>
      <c r="E12" s="2" t="s">
        <v>279</v>
      </c>
      <c r="F12" s="2" t="s">
        <v>276</v>
      </c>
      <c r="G12" s="2" t="s">
        <v>277</v>
      </c>
      <c r="H12" s="2" t="s">
        <v>243</v>
      </c>
      <c r="I12" s="2" t="s">
        <v>280</v>
      </c>
      <c r="J12" s="3">
        <v>46538</v>
      </c>
      <c r="K12" s="3" t="s">
        <v>4</v>
      </c>
      <c r="L12" s="4">
        <v>64</v>
      </c>
      <c r="M12" s="25" t="s">
        <v>281</v>
      </c>
      <c r="N12" s="25">
        <v>6</v>
      </c>
      <c r="O12" s="17" t="s">
        <v>168</v>
      </c>
      <c r="P12" s="4" t="s">
        <v>237</v>
      </c>
    </row>
    <row r="13" spans="1:16" x14ac:dyDescent="0.45">
      <c r="A13" s="5">
        <v>13111368</v>
      </c>
      <c r="B13" s="5" t="s">
        <v>794</v>
      </c>
      <c r="C13" s="16" t="s">
        <v>0</v>
      </c>
      <c r="D13" s="2" t="s">
        <v>239</v>
      </c>
      <c r="E13" s="2" t="s">
        <v>282</v>
      </c>
      <c r="F13" s="2" t="s">
        <v>260</v>
      </c>
      <c r="G13" s="2" t="s">
        <v>261</v>
      </c>
      <c r="H13" s="2" t="s">
        <v>243</v>
      </c>
      <c r="I13" s="2" t="s">
        <v>283</v>
      </c>
      <c r="J13" s="3">
        <v>46664</v>
      </c>
      <c r="K13" s="3" t="s">
        <v>13</v>
      </c>
      <c r="L13" s="4">
        <v>40</v>
      </c>
      <c r="M13" s="43" t="s">
        <v>284</v>
      </c>
      <c r="N13" s="43">
        <v>7</v>
      </c>
      <c r="O13" s="17" t="s">
        <v>168</v>
      </c>
      <c r="P13" s="4" t="s">
        <v>237</v>
      </c>
    </row>
    <row r="14" spans="1:16" x14ac:dyDescent="0.45">
      <c r="A14" s="5">
        <v>13111368</v>
      </c>
      <c r="B14" s="5" t="s">
        <v>794</v>
      </c>
      <c r="C14" s="16" t="s">
        <v>0</v>
      </c>
      <c r="D14" s="2" t="s">
        <v>239</v>
      </c>
      <c r="E14" s="2" t="s">
        <v>285</v>
      </c>
      <c r="F14" s="2" t="s">
        <v>276</v>
      </c>
      <c r="G14" s="2" t="s">
        <v>277</v>
      </c>
      <c r="H14" s="2" t="s">
        <v>243</v>
      </c>
      <c r="I14" s="2" t="s">
        <v>286</v>
      </c>
      <c r="J14" s="3">
        <v>46568</v>
      </c>
      <c r="K14" s="3" t="s">
        <v>4</v>
      </c>
      <c r="L14" s="4">
        <v>45</v>
      </c>
      <c r="M14" s="43"/>
      <c r="N14" s="43"/>
      <c r="O14" s="17" t="s">
        <v>168</v>
      </c>
      <c r="P14" s="4" t="s">
        <v>237</v>
      </c>
    </row>
    <row r="15" spans="1:16" x14ac:dyDescent="0.45">
      <c r="A15" s="5">
        <v>13111368</v>
      </c>
      <c r="B15" s="5" t="s">
        <v>794</v>
      </c>
      <c r="C15" s="16" t="s">
        <v>0</v>
      </c>
      <c r="D15" s="2" t="s">
        <v>239</v>
      </c>
      <c r="E15" s="2" t="s">
        <v>287</v>
      </c>
      <c r="F15" s="2" t="s">
        <v>267</v>
      </c>
      <c r="G15" s="2" t="s">
        <v>268</v>
      </c>
      <c r="H15" s="2" t="s">
        <v>243</v>
      </c>
      <c r="I15" s="2" t="s">
        <v>288</v>
      </c>
      <c r="J15" s="3">
        <v>46568</v>
      </c>
      <c r="K15" s="3" t="s">
        <v>4</v>
      </c>
      <c r="L15" s="4">
        <v>22</v>
      </c>
      <c r="M15" s="43"/>
      <c r="N15" s="43"/>
      <c r="O15" s="17" t="s">
        <v>168</v>
      </c>
      <c r="P15" s="4" t="s">
        <v>237</v>
      </c>
    </row>
    <row r="16" spans="1:16" x14ac:dyDescent="0.45">
      <c r="A16" s="5">
        <v>13111368</v>
      </c>
      <c r="B16" s="5" t="s">
        <v>794</v>
      </c>
      <c r="C16" s="16" t="s">
        <v>0</v>
      </c>
      <c r="D16" s="2" t="s">
        <v>239</v>
      </c>
      <c r="E16" s="2" t="s">
        <v>289</v>
      </c>
      <c r="F16" s="2" t="s">
        <v>267</v>
      </c>
      <c r="G16" s="2" t="s">
        <v>268</v>
      </c>
      <c r="H16" s="2" t="s">
        <v>243</v>
      </c>
      <c r="I16" s="2" t="s">
        <v>290</v>
      </c>
      <c r="J16" s="3">
        <v>46599</v>
      </c>
      <c r="K16" s="3" t="s">
        <v>4</v>
      </c>
      <c r="L16" s="4">
        <v>38</v>
      </c>
      <c r="M16" s="43" t="s">
        <v>291</v>
      </c>
      <c r="N16" s="43">
        <v>8</v>
      </c>
      <c r="O16" s="17" t="s">
        <v>168</v>
      </c>
      <c r="P16" s="4" t="s">
        <v>237</v>
      </c>
    </row>
    <row r="17" spans="1:16" x14ac:dyDescent="0.45">
      <c r="A17" s="5">
        <v>13111368</v>
      </c>
      <c r="B17" s="5" t="s">
        <v>794</v>
      </c>
      <c r="C17" s="16" t="s">
        <v>0</v>
      </c>
      <c r="D17" s="2" t="s">
        <v>239</v>
      </c>
      <c r="E17" s="2" t="s">
        <v>292</v>
      </c>
      <c r="F17" s="2" t="s">
        <v>267</v>
      </c>
      <c r="G17" s="2" t="s">
        <v>268</v>
      </c>
      <c r="H17" s="2" t="s">
        <v>243</v>
      </c>
      <c r="I17" s="2" t="s">
        <v>293</v>
      </c>
      <c r="J17" s="3">
        <v>46721</v>
      </c>
      <c r="K17" s="3" t="s">
        <v>4</v>
      </c>
      <c r="L17" s="4">
        <v>43</v>
      </c>
      <c r="M17" s="43"/>
      <c r="N17" s="43"/>
      <c r="O17" s="17" t="s">
        <v>168</v>
      </c>
      <c r="P17" s="4" t="s">
        <v>237</v>
      </c>
    </row>
    <row r="18" spans="1:16" x14ac:dyDescent="0.45">
      <c r="A18" s="5">
        <v>13111368</v>
      </c>
      <c r="B18" s="5" t="s">
        <v>794</v>
      </c>
      <c r="C18" s="16" t="s">
        <v>0</v>
      </c>
      <c r="D18" s="2" t="s">
        <v>239</v>
      </c>
      <c r="E18" s="2" t="s">
        <v>294</v>
      </c>
      <c r="F18" s="2" t="s">
        <v>267</v>
      </c>
      <c r="G18" s="2" t="s">
        <v>268</v>
      </c>
      <c r="H18" s="2" t="s">
        <v>243</v>
      </c>
      <c r="I18" s="2" t="s">
        <v>295</v>
      </c>
      <c r="J18" s="3">
        <v>46721</v>
      </c>
      <c r="K18" s="3" t="s">
        <v>4</v>
      </c>
      <c r="L18" s="4">
        <v>26</v>
      </c>
      <c r="M18" s="43"/>
      <c r="N18" s="43"/>
      <c r="O18" s="17" t="s">
        <v>168</v>
      </c>
      <c r="P18" s="4" t="s">
        <v>237</v>
      </c>
    </row>
    <row r="19" spans="1:16" x14ac:dyDescent="0.45">
      <c r="A19" s="5">
        <v>13111368</v>
      </c>
      <c r="B19" s="5" t="s">
        <v>794</v>
      </c>
      <c r="C19" s="16" t="s">
        <v>0</v>
      </c>
      <c r="D19" s="2" t="s">
        <v>239</v>
      </c>
      <c r="E19" s="2" t="s">
        <v>296</v>
      </c>
      <c r="F19" s="2" t="s">
        <v>267</v>
      </c>
      <c r="G19" s="2" t="s">
        <v>268</v>
      </c>
      <c r="H19" s="2" t="s">
        <v>243</v>
      </c>
      <c r="I19" s="2" t="s">
        <v>297</v>
      </c>
      <c r="J19" s="3">
        <v>46476</v>
      </c>
      <c r="K19" s="3" t="s">
        <v>13</v>
      </c>
      <c r="L19" s="4">
        <v>36</v>
      </c>
      <c r="M19" s="43" t="s">
        <v>298</v>
      </c>
      <c r="N19" s="43">
        <v>9</v>
      </c>
      <c r="O19" s="17" t="s">
        <v>168</v>
      </c>
      <c r="P19" s="4" t="s">
        <v>237</v>
      </c>
    </row>
    <row r="20" spans="1:16" x14ac:dyDescent="0.45">
      <c r="A20" s="5">
        <v>13111368</v>
      </c>
      <c r="B20" s="5" t="s">
        <v>794</v>
      </c>
      <c r="C20" s="16" t="s">
        <v>0</v>
      </c>
      <c r="D20" s="2" t="s">
        <v>239</v>
      </c>
      <c r="E20" s="2" t="s">
        <v>299</v>
      </c>
      <c r="F20" s="2" t="s">
        <v>267</v>
      </c>
      <c r="G20" s="2" t="s">
        <v>268</v>
      </c>
      <c r="H20" s="2" t="s">
        <v>243</v>
      </c>
      <c r="I20" s="2" t="s">
        <v>300</v>
      </c>
      <c r="J20" s="3">
        <v>46476</v>
      </c>
      <c r="K20" s="3" t="s">
        <v>13</v>
      </c>
      <c r="L20" s="4">
        <v>73</v>
      </c>
      <c r="M20" s="43"/>
      <c r="N20" s="43"/>
      <c r="O20" s="17" t="s">
        <v>168</v>
      </c>
      <c r="P20" s="4" t="s">
        <v>237</v>
      </c>
    </row>
    <row r="21" spans="1:16" x14ac:dyDescent="0.45">
      <c r="A21" s="5">
        <v>13111368</v>
      </c>
      <c r="B21" s="5" t="s">
        <v>794</v>
      </c>
      <c r="C21" s="16" t="s">
        <v>0</v>
      </c>
      <c r="D21" s="2" t="s">
        <v>239</v>
      </c>
      <c r="E21" s="2" t="s">
        <v>301</v>
      </c>
      <c r="F21" s="2" t="s">
        <v>302</v>
      </c>
      <c r="G21" s="2" t="s">
        <v>303</v>
      </c>
      <c r="H21" s="2" t="s">
        <v>243</v>
      </c>
      <c r="I21" s="2" t="s">
        <v>304</v>
      </c>
      <c r="J21" s="3">
        <v>46594</v>
      </c>
      <c r="K21" s="3" t="s">
        <v>13</v>
      </c>
      <c r="L21" s="4">
        <v>44</v>
      </c>
      <c r="M21" s="43" t="s">
        <v>305</v>
      </c>
      <c r="N21" s="43">
        <v>10</v>
      </c>
      <c r="O21" s="17" t="s">
        <v>168</v>
      </c>
      <c r="P21" s="4" t="s">
        <v>237</v>
      </c>
    </row>
    <row r="22" spans="1:16" x14ac:dyDescent="0.45">
      <c r="A22" s="5">
        <v>13111368</v>
      </c>
      <c r="B22" s="5" t="s">
        <v>794</v>
      </c>
      <c r="C22" s="16" t="s">
        <v>0</v>
      </c>
      <c r="D22" s="2" t="s">
        <v>239</v>
      </c>
      <c r="E22" s="2" t="s">
        <v>306</v>
      </c>
      <c r="F22" s="2" t="s">
        <v>307</v>
      </c>
      <c r="G22" s="2" t="s">
        <v>308</v>
      </c>
      <c r="H22" s="2" t="s">
        <v>243</v>
      </c>
      <c r="I22" s="2" t="s">
        <v>309</v>
      </c>
      <c r="J22" s="3">
        <v>46550</v>
      </c>
      <c r="K22" s="3" t="s">
        <v>13</v>
      </c>
      <c r="L22" s="4">
        <v>36</v>
      </c>
      <c r="M22" s="43"/>
      <c r="N22" s="43"/>
      <c r="O22" s="17" t="s">
        <v>168</v>
      </c>
      <c r="P22" s="4" t="s">
        <v>237</v>
      </c>
    </row>
    <row r="23" spans="1:16" x14ac:dyDescent="0.45">
      <c r="A23" s="5">
        <v>13111368</v>
      </c>
      <c r="B23" s="5" t="s">
        <v>794</v>
      </c>
      <c r="C23" s="16" t="s">
        <v>0</v>
      </c>
      <c r="D23" s="2" t="s">
        <v>239</v>
      </c>
      <c r="E23" s="2" t="s">
        <v>310</v>
      </c>
      <c r="F23" s="2" t="s">
        <v>311</v>
      </c>
      <c r="G23" s="2" t="s">
        <v>312</v>
      </c>
      <c r="H23" s="2" t="s">
        <v>243</v>
      </c>
      <c r="I23" s="2" t="s">
        <v>313</v>
      </c>
      <c r="J23" s="3">
        <v>46660</v>
      </c>
      <c r="K23" s="3" t="s">
        <v>4</v>
      </c>
      <c r="L23" s="4">
        <v>20</v>
      </c>
      <c r="M23" s="43"/>
      <c r="N23" s="43"/>
      <c r="O23" s="17" t="s">
        <v>168</v>
      </c>
      <c r="P23" s="4" t="s">
        <v>237</v>
      </c>
    </row>
    <row r="24" spans="1:16" x14ac:dyDescent="0.45">
      <c r="A24" s="5">
        <v>13111368</v>
      </c>
      <c r="B24" s="5" t="s">
        <v>794</v>
      </c>
      <c r="C24" s="16" t="s">
        <v>0</v>
      </c>
      <c r="D24" s="2" t="s">
        <v>239</v>
      </c>
      <c r="E24" s="2" t="s">
        <v>314</v>
      </c>
      <c r="F24" s="2" t="s">
        <v>307</v>
      </c>
      <c r="G24" s="2" t="s">
        <v>308</v>
      </c>
      <c r="H24" s="2" t="s">
        <v>243</v>
      </c>
      <c r="I24" s="2" t="s">
        <v>315</v>
      </c>
      <c r="J24" s="3">
        <v>46638</v>
      </c>
      <c r="K24" s="3" t="s">
        <v>13</v>
      </c>
      <c r="L24" s="4">
        <v>33</v>
      </c>
      <c r="M24" s="43" t="s">
        <v>316</v>
      </c>
      <c r="N24" s="43">
        <v>11</v>
      </c>
      <c r="O24" s="17" t="s">
        <v>168</v>
      </c>
      <c r="P24" s="4" t="s">
        <v>237</v>
      </c>
    </row>
    <row r="25" spans="1:16" x14ac:dyDescent="0.45">
      <c r="A25" s="5">
        <v>13111368</v>
      </c>
      <c r="B25" s="5" t="s">
        <v>794</v>
      </c>
      <c r="C25" s="16" t="s">
        <v>0</v>
      </c>
      <c r="D25" s="2" t="s">
        <v>239</v>
      </c>
      <c r="E25" s="2" t="s">
        <v>317</v>
      </c>
      <c r="F25" s="2" t="s">
        <v>307</v>
      </c>
      <c r="G25" s="2" t="s">
        <v>308</v>
      </c>
      <c r="H25" s="2" t="s">
        <v>243</v>
      </c>
      <c r="I25" s="2" t="s">
        <v>318</v>
      </c>
      <c r="J25" s="3">
        <v>46711</v>
      </c>
      <c r="K25" s="3" t="s">
        <v>13</v>
      </c>
      <c r="L25" s="4">
        <v>72</v>
      </c>
      <c r="M25" s="43"/>
      <c r="N25" s="43"/>
      <c r="O25" s="17" t="s">
        <v>168</v>
      </c>
      <c r="P25" s="4" t="s">
        <v>237</v>
      </c>
    </row>
    <row r="26" spans="1:16" x14ac:dyDescent="0.45">
      <c r="A26" s="5">
        <v>13111368</v>
      </c>
      <c r="B26" s="5" t="s">
        <v>794</v>
      </c>
      <c r="C26" s="16" t="s">
        <v>0</v>
      </c>
      <c r="D26" s="2" t="s">
        <v>239</v>
      </c>
      <c r="E26" s="2" t="s">
        <v>319</v>
      </c>
      <c r="F26" s="2" t="s">
        <v>320</v>
      </c>
      <c r="G26" s="2" t="s">
        <v>321</v>
      </c>
      <c r="H26" s="2" t="s">
        <v>243</v>
      </c>
      <c r="I26" s="2" t="s">
        <v>322</v>
      </c>
      <c r="J26" s="3">
        <v>46615</v>
      </c>
      <c r="K26" s="3" t="s">
        <v>13</v>
      </c>
      <c r="L26" s="4">
        <v>45</v>
      </c>
      <c r="M26" s="43" t="s">
        <v>323</v>
      </c>
      <c r="N26" s="43">
        <v>12</v>
      </c>
      <c r="O26" s="17" t="s">
        <v>168</v>
      </c>
      <c r="P26" s="4" t="s">
        <v>237</v>
      </c>
    </row>
    <row r="27" spans="1:16" x14ac:dyDescent="0.45">
      <c r="A27" s="5">
        <v>13111368</v>
      </c>
      <c r="B27" s="5" t="s">
        <v>794</v>
      </c>
      <c r="C27" s="16" t="s">
        <v>0</v>
      </c>
      <c r="D27" s="2" t="s">
        <v>239</v>
      </c>
      <c r="E27" s="2" t="s">
        <v>324</v>
      </c>
      <c r="F27" s="2" t="s">
        <v>325</v>
      </c>
      <c r="G27" s="2" t="s">
        <v>326</v>
      </c>
      <c r="H27" s="2" t="s">
        <v>243</v>
      </c>
      <c r="I27" s="2" t="s">
        <v>327</v>
      </c>
      <c r="J27" s="3">
        <v>46721</v>
      </c>
      <c r="K27" s="3" t="s">
        <v>4</v>
      </c>
      <c r="L27" s="4">
        <v>69</v>
      </c>
      <c r="M27" s="43"/>
      <c r="N27" s="43"/>
      <c r="O27" s="17" t="s">
        <v>168</v>
      </c>
      <c r="P27" s="4" t="s">
        <v>237</v>
      </c>
    </row>
    <row r="28" spans="1:16" x14ac:dyDescent="0.45">
      <c r="A28" s="5">
        <v>13111368</v>
      </c>
      <c r="B28" s="5" t="s">
        <v>794</v>
      </c>
      <c r="C28" s="16" t="s">
        <v>0</v>
      </c>
      <c r="D28" s="2" t="s">
        <v>239</v>
      </c>
      <c r="E28" s="2" t="s">
        <v>328</v>
      </c>
      <c r="F28" s="2" t="s">
        <v>325</v>
      </c>
      <c r="G28" s="2" t="s">
        <v>326</v>
      </c>
      <c r="H28" s="2" t="s">
        <v>243</v>
      </c>
      <c r="I28" s="2" t="s">
        <v>329</v>
      </c>
      <c r="J28" s="3">
        <v>46660</v>
      </c>
      <c r="K28" s="3" t="s">
        <v>4</v>
      </c>
      <c r="L28" s="4">
        <v>49</v>
      </c>
      <c r="M28" s="43" t="s">
        <v>330</v>
      </c>
      <c r="N28" s="43">
        <v>13</v>
      </c>
      <c r="O28" s="17" t="s">
        <v>168</v>
      </c>
      <c r="P28" s="4" t="s">
        <v>237</v>
      </c>
    </row>
    <row r="29" spans="1:16" x14ac:dyDescent="0.45">
      <c r="A29" s="5">
        <v>13111368</v>
      </c>
      <c r="B29" s="5" t="s">
        <v>794</v>
      </c>
      <c r="C29" s="16" t="s">
        <v>0</v>
      </c>
      <c r="D29" s="2" t="s">
        <v>239</v>
      </c>
      <c r="E29" s="2" t="s">
        <v>331</v>
      </c>
      <c r="F29" s="2" t="s">
        <v>332</v>
      </c>
      <c r="G29" s="2" t="s">
        <v>333</v>
      </c>
      <c r="H29" s="2" t="s">
        <v>243</v>
      </c>
      <c r="I29" s="2" t="s">
        <v>334</v>
      </c>
      <c r="J29" s="3">
        <v>46620</v>
      </c>
      <c r="K29" s="3" t="s">
        <v>13</v>
      </c>
      <c r="L29" s="4">
        <v>48</v>
      </c>
      <c r="M29" s="43"/>
      <c r="N29" s="43"/>
      <c r="O29" s="17" t="s">
        <v>168</v>
      </c>
      <c r="P29" s="4" t="s">
        <v>237</v>
      </c>
    </row>
    <row r="30" spans="1:16" x14ac:dyDescent="0.45">
      <c r="A30" s="5">
        <v>13111368</v>
      </c>
      <c r="B30" s="5" t="s">
        <v>794</v>
      </c>
      <c r="C30" s="16" t="s">
        <v>0</v>
      </c>
      <c r="D30" s="2" t="s">
        <v>239</v>
      </c>
      <c r="E30" s="2" t="s">
        <v>335</v>
      </c>
      <c r="F30" s="2" t="s">
        <v>336</v>
      </c>
      <c r="G30" s="2" t="s">
        <v>337</v>
      </c>
      <c r="H30" s="2" t="s">
        <v>243</v>
      </c>
      <c r="I30" s="2" t="s">
        <v>338</v>
      </c>
      <c r="J30" s="3">
        <v>46622</v>
      </c>
      <c r="K30" s="3" t="s">
        <v>13</v>
      </c>
      <c r="L30" s="4">
        <v>54</v>
      </c>
      <c r="M30" s="43" t="s">
        <v>339</v>
      </c>
      <c r="N30" s="43">
        <v>14</v>
      </c>
      <c r="O30" s="17" t="s">
        <v>168</v>
      </c>
      <c r="P30" s="4" t="s">
        <v>237</v>
      </c>
    </row>
    <row r="31" spans="1:16" x14ac:dyDescent="0.45">
      <c r="A31" s="5">
        <v>13111368</v>
      </c>
      <c r="B31" s="5" t="s">
        <v>794</v>
      </c>
      <c r="C31" s="16" t="s">
        <v>0</v>
      </c>
      <c r="D31" s="2" t="s">
        <v>239</v>
      </c>
      <c r="E31" s="2" t="s">
        <v>340</v>
      </c>
      <c r="F31" s="2" t="s">
        <v>341</v>
      </c>
      <c r="G31" s="2" t="s">
        <v>342</v>
      </c>
      <c r="H31" s="2" t="s">
        <v>243</v>
      </c>
      <c r="I31" s="2" t="s">
        <v>343</v>
      </c>
      <c r="J31" s="3">
        <v>46691</v>
      </c>
      <c r="K31" s="3" t="s">
        <v>4</v>
      </c>
      <c r="L31" s="4">
        <v>56</v>
      </c>
      <c r="M31" s="43"/>
      <c r="N31" s="43"/>
      <c r="O31" s="17" t="s">
        <v>168</v>
      </c>
      <c r="P31" s="4" t="s">
        <v>237</v>
      </c>
    </row>
    <row r="32" spans="1:16" x14ac:dyDescent="0.45">
      <c r="A32" s="5">
        <v>13111368</v>
      </c>
      <c r="B32" s="5" t="s">
        <v>794</v>
      </c>
      <c r="C32" s="16" t="s">
        <v>0</v>
      </c>
      <c r="D32" s="2" t="s">
        <v>239</v>
      </c>
      <c r="E32" s="2" t="s">
        <v>344</v>
      </c>
      <c r="F32" s="2" t="s">
        <v>332</v>
      </c>
      <c r="G32" s="2" t="s">
        <v>333</v>
      </c>
      <c r="H32" s="2" t="s">
        <v>243</v>
      </c>
      <c r="I32" s="2" t="s">
        <v>345</v>
      </c>
      <c r="J32" s="3">
        <v>46635</v>
      </c>
      <c r="K32" s="3" t="s">
        <v>13</v>
      </c>
      <c r="L32" s="4">
        <v>71</v>
      </c>
      <c r="M32" s="43" t="s">
        <v>346</v>
      </c>
      <c r="N32" s="43">
        <v>15</v>
      </c>
      <c r="O32" s="17" t="s">
        <v>168</v>
      </c>
      <c r="P32" s="4" t="s">
        <v>237</v>
      </c>
    </row>
    <row r="33" spans="1:16" x14ac:dyDescent="0.45">
      <c r="A33" s="5">
        <v>13111368</v>
      </c>
      <c r="B33" s="5" t="s">
        <v>794</v>
      </c>
      <c r="C33" s="16" t="s">
        <v>0</v>
      </c>
      <c r="D33" s="2" t="s">
        <v>239</v>
      </c>
      <c r="E33" s="2" t="s">
        <v>347</v>
      </c>
      <c r="F33" s="2" t="s">
        <v>348</v>
      </c>
      <c r="G33" s="2" t="s">
        <v>349</v>
      </c>
      <c r="H33" s="2" t="s">
        <v>350</v>
      </c>
      <c r="I33" s="2" t="s">
        <v>351</v>
      </c>
      <c r="J33" s="3">
        <v>46630</v>
      </c>
      <c r="K33" s="3" t="s">
        <v>4</v>
      </c>
      <c r="L33" s="4">
        <v>56</v>
      </c>
      <c r="M33" s="43"/>
      <c r="N33" s="43"/>
      <c r="O33" s="17" t="s">
        <v>168</v>
      </c>
      <c r="P33" s="4" t="s">
        <v>237</v>
      </c>
    </row>
    <row r="34" spans="1:16" x14ac:dyDescent="0.45">
      <c r="A34" s="5">
        <v>13111368</v>
      </c>
      <c r="B34" s="5" t="s">
        <v>794</v>
      </c>
      <c r="C34" s="16" t="s">
        <v>0</v>
      </c>
      <c r="D34" s="2" t="s">
        <v>239</v>
      </c>
      <c r="E34" s="2" t="s">
        <v>352</v>
      </c>
      <c r="F34" s="2" t="s">
        <v>325</v>
      </c>
      <c r="G34" s="2" t="s">
        <v>326</v>
      </c>
      <c r="H34" s="2" t="s">
        <v>243</v>
      </c>
      <c r="I34" s="2" t="s">
        <v>353</v>
      </c>
      <c r="J34" s="3">
        <v>46780</v>
      </c>
      <c r="K34" s="3" t="s">
        <v>4</v>
      </c>
      <c r="L34" s="4">
        <v>19</v>
      </c>
      <c r="M34" s="43" t="s">
        <v>354</v>
      </c>
      <c r="N34" s="43">
        <v>16</v>
      </c>
      <c r="O34" s="17" t="s">
        <v>168</v>
      </c>
      <c r="P34" s="4" t="s">
        <v>237</v>
      </c>
    </row>
    <row r="35" spans="1:16" x14ac:dyDescent="0.45">
      <c r="A35" s="5">
        <v>13111368</v>
      </c>
      <c r="B35" s="5" t="s">
        <v>794</v>
      </c>
      <c r="C35" s="16" t="s">
        <v>0</v>
      </c>
      <c r="D35" s="2" t="s">
        <v>239</v>
      </c>
      <c r="E35" s="2" t="s">
        <v>355</v>
      </c>
      <c r="F35" s="2" t="s">
        <v>341</v>
      </c>
      <c r="G35" s="2" t="s">
        <v>342</v>
      </c>
      <c r="H35" s="2" t="s">
        <v>243</v>
      </c>
      <c r="I35" s="2" t="s">
        <v>356</v>
      </c>
      <c r="J35" s="3">
        <v>46793</v>
      </c>
      <c r="K35" s="3" t="s">
        <v>4</v>
      </c>
      <c r="L35" s="4">
        <v>33</v>
      </c>
      <c r="M35" s="43"/>
      <c r="N35" s="43"/>
      <c r="O35" s="17" t="s">
        <v>168</v>
      </c>
      <c r="P35" s="4" t="s">
        <v>237</v>
      </c>
    </row>
    <row r="36" spans="1:16" x14ac:dyDescent="0.45">
      <c r="A36" s="5">
        <v>13111368</v>
      </c>
      <c r="B36" s="5" t="s">
        <v>794</v>
      </c>
      <c r="C36" s="16" t="s">
        <v>0</v>
      </c>
      <c r="D36" s="2" t="s">
        <v>239</v>
      </c>
      <c r="E36" s="2" t="s">
        <v>357</v>
      </c>
      <c r="F36" s="2" t="s">
        <v>358</v>
      </c>
      <c r="G36" s="2" t="s">
        <v>359</v>
      </c>
      <c r="H36" s="2" t="s">
        <v>243</v>
      </c>
      <c r="I36" s="2" t="s">
        <v>360</v>
      </c>
      <c r="J36" s="3">
        <v>46657</v>
      </c>
      <c r="K36" s="3" t="s">
        <v>13</v>
      </c>
      <c r="L36" s="4">
        <v>43</v>
      </c>
      <c r="M36" s="43"/>
      <c r="N36" s="43"/>
      <c r="O36" s="17" t="s">
        <v>168</v>
      </c>
      <c r="P36" s="4" t="s">
        <v>237</v>
      </c>
    </row>
    <row r="37" spans="1:16" x14ac:dyDescent="0.45">
      <c r="A37" s="5">
        <v>13111368</v>
      </c>
      <c r="B37" s="5" t="s">
        <v>794</v>
      </c>
      <c r="C37" s="16" t="s">
        <v>0</v>
      </c>
      <c r="D37" s="2" t="s">
        <v>239</v>
      </c>
      <c r="E37" s="2" t="s">
        <v>361</v>
      </c>
      <c r="F37" s="2" t="s">
        <v>325</v>
      </c>
      <c r="G37" s="2" t="s">
        <v>326</v>
      </c>
      <c r="H37" s="2" t="s">
        <v>243</v>
      </c>
      <c r="I37" s="2" t="s">
        <v>362</v>
      </c>
      <c r="J37" s="3">
        <v>46507</v>
      </c>
      <c r="K37" s="3" t="s">
        <v>4</v>
      </c>
      <c r="L37" s="4">
        <v>37</v>
      </c>
      <c r="M37" s="43" t="s">
        <v>363</v>
      </c>
      <c r="N37" s="43">
        <v>17</v>
      </c>
      <c r="O37" s="17" t="s">
        <v>168</v>
      </c>
      <c r="P37" s="4" t="s">
        <v>237</v>
      </c>
    </row>
    <row r="38" spans="1:16" x14ac:dyDescent="0.45">
      <c r="A38" s="5">
        <v>13111368</v>
      </c>
      <c r="B38" s="5" t="s">
        <v>794</v>
      </c>
      <c r="C38" s="16" t="s">
        <v>0</v>
      </c>
      <c r="D38" s="2" t="s">
        <v>239</v>
      </c>
      <c r="E38" s="2" t="s">
        <v>364</v>
      </c>
      <c r="F38" s="2" t="s">
        <v>341</v>
      </c>
      <c r="G38" s="2" t="s">
        <v>342</v>
      </c>
      <c r="H38" s="2" t="s">
        <v>243</v>
      </c>
      <c r="I38" s="2" t="s">
        <v>365</v>
      </c>
      <c r="J38" s="3">
        <v>46772</v>
      </c>
      <c r="K38" s="3" t="s">
        <v>4</v>
      </c>
      <c r="L38" s="4">
        <v>59</v>
      </c>
      <c r="M38" s="43"/>
      <c r="N38" s="43"/>
      <c r="O38" s="17" t="s">
        <v>168</v>
      </c>
      <c r="P38" s="4" t="s">
        <v>237</v>
      </c>
    </row>
    <row r="39" spans="1:16" x14ac:dyDescent="0.45">
      <c r="A39" s="5">
        <v>13111368</v>
      </c>
      <c r="B39" s="5" t="s">
        <v>794</v>
      </c>
      <c r="C39" s="16" t="s">
        <v>0</v>
      </c>
      <c r="D39" s="2" t="s">
        <v>239</v>
      </c>
      <c r="E39" s="2" t="s">
        <v>366</v>
      </c>
      <c r="F39" s="2" t="s">
        <v>367</v>
      </c>
      <c r="G39" s="2" t="s">
        <v>368</v>
      </c>
      <c r="H39" s="2" t="s">
        <v>350</v>
      </c>
      <c r="I39" s="2" t="s">
        <v>369</v>
      </c>
      <c r="J39" s="3">
        <v>46504</v>
      </c>
      <c r="K39" s="3" t="s">
        <v>370</v>
      </c>
      <c r="L39" s="4">
        <v>25</v>
      </c>
      <c r="M39" s="43" t="s">
        <v>371</v>
      </c>
      <c r="N39" s="43">
        <v>18</v>
      </c>
      <c r="O39" s="17" t="s">
        <v>168</v>
      </c>
      <c r="P39" s="4" t="s">
        <v>237</v>
      </c>
    </row>
    <row r="40" spans="1:16" x14ac:dyDescent="0.45">
      <c r="A40" s="5">
        <v>13111368</v>
      </c>
      <c r="B40" s="5" t="s">
        <v>794</v>
      </c>
      <c r="C40" s="16" t="s">
        <v>0</v>
      </c>
      <c r="D40" s="2" t="s">
        <v>239</v>
      </c>
      <c r="E40" s="2" t="s">
        <v>372</v>
      </c>
      <c r="F40" s="2" t="s">
        <v>373</v>
      </c>
      <c r="G40" s="2" t="s">
        <v>374</v>
      </c>
      <c r="H40" s="2" t="s">
        <v>350</v>
      </c>
      <c r="I40" s="2" t="s">
        <v>375</v>
      </c>
      <c r="J40" s="3">
        <v>46507</v>
      </c>
      <c r="K40" s="3" t="s">
        <v>4</v>
      </c>
      <c r="L40" s="4">
        <v>22</v>
      </c>
      <c r="M40" s="43"/>
      <c r="N40" s="43"/>
      <c r="O40" s="17" t="s">
        <v>168</v>
      </c>
      <c r="P40" s="4" t="s">
        <v>237</v>
      </c>
    </row>
    <row r="41" spans="1:16" x14ac:dyDescent="0.45">
      <c r="A41" s="5">
        <v>13111368</v>
      </c>
      <c r="B41" s="5" t="s">
        <v>794</v>
      </c>
      <c r="C41" s="16" t="s">
        <v>0</v>
      </c>
      <c r="D41" s="2" t="s">
        <v>239</v>
      </c>
      <c r="E41" s="2" t="s">
        <v>376</v>
      </c>
      <c r="F41" s="2" t="s">
        <v>377</v>
      </c>
      <c r="G41" s="2" t="s">
        <v>378</v>
      </c>
      <c r="H41" s="2" t="s">
        <v>350</v>
      </c>
      <c r="I41" s="2" t="s">
        <v>379</v>
      </c>
      <c r="J41" s="3">
        <v>46477</v>
      </c>
      <c r="K41" s="3" t="s">
        <v>4</v>
      </c>
      <c r="L41" s="4">
        <v>38</v>
      </c>
      <c r="M41" s="43" t="s">
        <v>380</v>
      </c>
      <c r="N41" s="43">
        <v>19</v>
      </c>
      <c r="O41" s="17" t="s">
        <v>168</v>
      </c>
      <c r="P41" s="4" t="s">
        <v>237</v>
      </c>
    </row>
    <row r="42" spans="1:16" x14ac:dyDescent="0.45">
      <c r="A42" s="5">
        <v>13111368</v>
      </c>
      <c r="B42" s="5" t="s">
        <v>794</v>
      </c>
      <c r="C42" s="16" t="s">
        <v>0</v>
      </c>
      <c r="D42" s="2" t="s">
        <v>239</v>
      </c>
      <c r="E42" s="2" t="s">
        <v>381</v>
      </c>
      <c r="F42" s="2" t="s">
        <v>382</v>
      </c>
      <c r="G42" s="2" t="s">
        <v>383</v>
      </c>
      <c r="H42" s="2" t="s">
        <v>350</v>
      </c>
      <c r="I42" s="2" t="s">
        <v>384</v>
      </c>
      <c r="J42" s="3">
        <v>46485</v>
      </c>
      <c r="K42" s="3" t="s">
        <v>370</v>
      </c>
      <c r="L42" s="4">
        <v>23</v>
      </c>
      <c r="M42" s="43"/>
      <c r="N42" s="43"/>
      <c r="O42" s="17" t="s">
        <v>168</v>
      </c>
      <c r="P42" s="4" t="s">
        <v>237</v>
      </c>
    </row>
    <row r="43" spans="1:16" x14ac:dyDescent="0.45">
      <c r="A43" s="5">
        <v>13111368</v>
      </c>
      <c r="B43" s="5" t="s">
        <v>794</v>
      </c>
      <c r="C43" s="16" t="s">
        <v>0</v>
      </c>
      <c r="D43" s="2" t="s">
        <v>239</v>
      </c>
      <c r="E43" s="2" t="s">
        <v>385</v>
      </c>
      <c r="F43" s="2" t="s">
        <v>386</v>
      </c>
      <c r="G43" s="2" t="s">
        <v>387</v>
      </c>
      <c r="H43" s="2" t="s">
        <v>350</v>
      </c>
      <c r="I43" s="2" t="s">
        <v>388</v>
      </c>
      <c r="J43" s="3">
        <v>46500</v>
      </c>
      <c r="K43" s="3" t="s">
        <v>370</v>
      </c>
      <c r="L43" s="4">
        <v>34</v>
      </c>
      <c r="M43" s="43"/>
      <c r="N43" s="43"/>
      <c r="O43" s="17" t="s">
        <v>168</v>
      </c>
      <c r="P43" s="4" t="s">
        <v>237</v>
      </c>
    </row>
    <row r="44" spans="1:16" x14ac:dyDescent="0.45">
      <c r="A44" s="5">
        <v>13111368</v>
      </c>
      <c r="B44" s="5" t="s">
        <v>794</v>
      </c>
      <c r="C44" s="16" t="s">
        <v>0</v>
      </c>
      <c r="D44" s="2" t="s">
        <v>239</v>
      </c>
      <c r="E44" s="2" t="s">
        <v>389</v>
      </c>
      <c r="F44" s="2" t="s">
        <v>390</v>
      </c>
      <c r="G44" s="2" t="s">
        <v>391</v>
      </c>
      <c r="H44" s="2" t="s">
        <v>350</v>
      </c>
      <c r="I44" s="2" t="s">
        <v>392</v>
      </c>
      <c r="J44" s="3">
        <v>46630</v>
      </c>
      <c r="K44" s="3" t="s">
        <v>4</v>
      </c>
      <c r="L44" s="4">
        <v>23</v>
      </c>
      <c r="M44" s="43"/>
      <c r="N44" s="43"/>
      <c r="O44" s="17" t="s">
        <v>168</v>
      </c>
      <c r="P44" s="4" t="s">
        <v>237</v>
      </c>
    </row>
    <row r="45" spans="1:16" x14ac:dyDescent="0.45">
      <c r="A45" s="5">
        <v>13111368</v>
      </c>
      <c r="B45" s="5" t="s">
        <v>794</v>
      </c>
      <c r="C45" s="16" t="s">
        <v>0</v>
      </c>
      <c r="D45" s="2" t="s">
        <v>239</v>
      </c>
      <c r="E45" s="2" t="s">
        <v>393</v>
      </c>
      <c r="F45" s="2" t="s">
        <v>341</v>
      </c>
      <c r="G45" s="2" t="s">
        <v>342</v>
      </c>
      <c r="H45" s="2" t="s">
        <v>243</v>
      </c>
      <c r="I45" s="2" t="s">
        <v>394</v>
      </c>
      <c r="J45" s="3">
        <v>46568</v>
      </c>
      <c r="K45" s="3" t="s">
        <v>4</v>
      </c>
      <c r="L45" s="4">
        <v>68</v>
      </c>
      <c r="M45" s="43" t="s">
        <v>395</v>
      </c>
      <c r="N45" s="43">
        <v>20</v>
      </c>
      <c r="O45" s="17" t="s">
        <v>168</v>
      </c>
      <c r="P45" s="4" t="s">
        <v>237</v>
      </c>
    </row>
    <row r="46" spans="1:16" x14ac:dyDescent="0.45">
      <c r="A46" s="5">
        <v>13111368</v>
      </c>
      <c r="B46" s="5" t="s">
        <v>794</v>
      </c>
      <c r="C46" s="16" t="s">
        <v>0</v>
      </c>
      <c r="D46" s="2" t="s">
        <v>239</v>
      </c>
      <c r="E46" s="2" t="s">
        <v>396</v>
      </c>
      <c r="F46" s="2" t="s">
        <v>397</v>
      </c>
      <c r="G46" s="2" t="s">
        <v>398</v>
      </c>
      <c r="H46" s="2" t="s">
        <v>350</v>
      </c>
      <c r="I46" s="2" t="s">
        <v>399</v>
      </c>
      <c r="J46" s="3">
        <v>46538</v>
      </c>
      <c r="K46" s="3" t="s">
        <v>4</v>
      </c>
      <c r="L46" s="4">
        <v>59</v>
      </c>
      <c r="M46" s="43"/>
      <c r="N46" s="43"/>
      <c r="O46" s="17" t="s">
        <v>168</v>
      </c>
      <c r="P46" s="4" t="s">
        <v>237</v>
      </c>
    </row>
    <row r="47" spans="1:16" x14ac:dyDescent="0.45">
      <c r="A47" s="5"/>
      <c r="B47" s="5"/>
      <c r="C47" s="42" t="s">
        <v>29</v>
      </c>
      <c r="D47" s="42"/>
      <c r="E47" s="42"/>
      <c r="F47" s="42"/>
      <c r="G47" s="42"/>
      <c r="H47" s="42"/>
      <c r="I47" s="42"/>
      <c r="J47" s="42"/>
      <c r="K47" s="42"/>
      <c r="L47" s="26">
        <f>SUM(L2:L46)</f>
        <v>1961</v>
      </c>
      <c r="M47" s="21" t="s">
        <v>674</v>
      </c>
      <c r="N47" s="21" t="s">
        <v>674</v>
      </c>
      <c r="O47" s="17"/>
      <c r="P47" s="4"/>
    </row>
    <row r="48" spans="1:16" x14ac:dyDescent="0.45">
      <c r="A48" s="5">
        <v>13111369</v>
      </c>
      <c r="B48" s="5" t="s">
        <v>795</v>
      </c>
      <c r="C48" s="16" t="s">
        <v>0</v>
      </c>
      <c r="D48" s="2" t="s">
        <v>239</v>
      </c>
      <c r="E48" s="2" t="s">
        <v>400</v>
      </c>
      <c r="F48" s="2" t="s">
        <v>401</v>
      </c>
      <c r="G48" s="2" t="s">
        <v>402</v>
      </c>
      <c r="H48" s="2" t="s">
        <v>350</v>
      </c>
      <c r="I48" s="2" t="s">
        <v>403</v>
      </c>
      <c r="J48" s="3">
        <v>46599</v>
      </c>
      <c r="K48" s="3" t="s">
        <v>4</v>
      </c>
      <c r="L48" s="4">
        <v>85</v>
      </c>
      <c r="M48" s="43" t="s">
        <v>404</v>
      </c>
      <c r="N48" s="43">
        <v>1</v>
      </c>
      <c r="O48" s="17" t="s">
        <v>168</v>
      </c>
      <c r="P48" s="4" t="s">
        <v>237</v>
      </c>
    </row>
    <row r="49" spans="1:16" x14ac:dyDescent="0.45">
      <c r="A49" s="5">
        <v>13111369</v>
      </c>
      <c r="B49" s="5" t="s">
        <v>795</v>
      </c>
      <c r="C49" s="16" t="s">
        <v>0</v>
      </c>
      <c r="D49" s="2" t="s">
        <v>239</v>
      </c>
      <c r="E49" s="2" t="s">
        <v>405</v>
      </c>
      <c r="F49" s="2" t="s">
        <v>406</v>
      </c>
      <c r="G49" s="2" t="s">
        <v>407</v>
      </c>
      <c r="H49" s="2" t="s">
        <v>350</v>
      </c>
      <c r="I49" s="2" t="s">
        <v>408</v>
      </c>
      <c r="J49" s="3">
        <v>46472</v>
      </c>
      <c r="K49" s="3" t="s">
        <v>370</v>
      </c>
      <c r="L49" s="4">
        <v>88</v>
      </c>
      <c r="M49" s="43"/>
      <c r="N49" s="43"/>
      <c r="O49" s="17" t="s">
        <v>168</v>
      </c>
      <c r="P49" s="4" t="s">
        <v>237</v>
      </c>
    </row>
    <row r="50" spans="1:16" x14ac:dyDescent="0.45">
      <c r="A50" s="5">
        <v>13111369</v>
      </c>
      <c r="B50" s="5" t="s">
        <v>795</v>
      </c>
      <c r="C50" s="16" t="s">
        <v>0</v>
      </c>
      <c r="D50" s="2" t="s">
        <v>239</v>
      </c>
      <c r="E50" s="2" t="s">
        <v>409</v>
      </c>
      <c r="F50" s="2" t="s">
        <v>386</v>
      </c>
      <c r="G50" s="2" t="s">
        <v>387</v>
      </c>
      <c r="H50" s="2" t="s">
        <v>350</v>
      </c>
      <c r="I50" s="2" t="s">
        <v>410</v>
      </c>
      <c r="J50" s="3">
        <v>46721</v>
      </c>
      <c r="K50" s="3" t="s">
        <v>4</v>
      </c>
      <c r="L50" s="4">
        <v>58</v>
      </c>
      <c r="M50" s="25" t="s">
        <v>411</v>
      </c>
      <c r="N50" s="25">
        <v>2</v>
      </c>
      <c r="O50" s="17" t="s">
        <v>168</v>
      </c>
      <c r="P50" s="4" t="s">
        <v>237</v>
      </c>
    </row>
    <row r="51" spans="1:16" x14ac:dyDescent="0.45">
      <c r="A51" s="5">
        <v>13111369</v>
      </c>
      <c r="B51" s="5" t="s">
        <v>795</v>
      </c>
      <c r="C51" s="16" t="s">
        <v>0</v>
      </c>
      <c r="D51" s="2" t="s">
        <v>239</v>
      </c>
      <c r="E51" s="2" t="s">
        <v>412</v>
      </c>
      <c r="F51" s="2" t="s">
        <v>413</v>
      </c>
      <c r="G51" s="2" t="s">
        <v>414</v>
      </c>
      <c r="H51" s="2" t="s">
        <v>350</v>
      </c>
      <c r="I51" s="2" t="s">
        <v>415</v>
      </c>
      <c r="J51" s="3">
        <v>46528</v>
      </c>
      <c r="K51" s="3" t="s">
        <v>370</v>
      </c>
      <c r="L51" s="4">
        <v>65</v>
      </c>
      <c r="M51" s="43" t="s">
        <v>416</v>
      </c>
      <c r="N51" s="43">
        <v>3</v>
      </c>
      <c r="O51" s="17" t="s">
        <v>168</v>
      </c>
      <c r="P51" s="4" t="s">
        <v>237</v>
      </c>
    </row>
    <row r="52" spans="1:16" x14ac:dyDescent="0.45">
      <c r="A52" s="5">
        <v>13111369</v>
      </c>
      <c r="B52" s="5" t="s">
        <v>795</v>
      </c>
      <c r="C52" s="16" t="s">
        <v>0</v>
      </c>
      <c r="D52" s="2" t="s">
        <v>239</v>
      </c>
      <c r="E52" s="2" t="s">
        <v>417</v>
      </c>
      <c r="F52" s="2" t="s">
        <v>418</v>
      </c>
      <c r="G52" s="2" t="s">
        <v>419</v>
      </c>
      <c r="H52" s="2" t="s">
        <v>350</v>
      </c>
      <c r="I52" s="2" t="s">
        <v>420</v>
      </c>
      <c r="J52" s="3">
        <v>46445</v>
      </c>
      <c r="K52" s="3" t="s">
        <v>370</v>
      </c>
      <c r="L52" s="4">
        <v>55</v>
      </c>
      <c r="M52" s="43"/>
      <c r="N52" s="43"/>
      <c r="O52" s="17" t="s">
        <v>168</v>
      </c>
      <c r="P52" s="4" t="s">
        <v>237</v>
      </c>
    </row>
    <row r="53" spans="1:16" x14ac:dyDescent="0.45">
      <c r="A53" s="5">
        <v>13111369</v>
      </c>
      <c r="B53" s="5" t="s">
        <v>795</v>
      </c>
      <c r="C53" s="16" t="s">
        <v>0</v>
      </c>
      <c r="D53" s="2" t="s">
        <v>239</v>
      </c>
      <c r="E53" s="2" t="s">
        <v>421</v>
      </c>
      <c r="F53" s="2" t="s">
        <v>401</v>
      </c>
      <c r="G53" s="2" t="s">
        <v>402</v>
      </c>
      <c r="H53" s="2" t="s">
        <v>350</v>
      </c>
      <c r="I53" s="2" t="s">
        <v>422</v>
      </c>
      <c r="J53" s="3">
        <v>46507</v>
      </c>
      <c r="K53" s="3" t="s">
        <v>4</v>
      </c>
      <c r="L53" s="4">
        <v>90</v>
      </c>
      <c r="M53" s="43" t="s">
        <v>423</v>
      </c>
      <c r="N53" s="43">
        <v>4</v>
      </c>
      <c r="O53" s="17" t="s">
        <v>168</v>
      </c>
      <c r="P53" s="4" t="s">
        <v>237</v>
      </c>
    </row>
    <row r="54" spans="1:16" x14ac:dyDescent="0.45">
      <c r="A54" s="5">
        <v>13111369</v>
      </c>
      <c r="B54" s="5" t="s">
        <v>795</v>
      </c>
      <c r="C54" s="16" t="s">
        <v>0</v>
      </c>
      <c r="D54" s="2" t="s">
        <v>239</v>
      </c>
      <c r="E54" s="2" t="s">
        <v>424</v>
      </c>
      <c r="F54" s="2" t="s">
        <v>406</v>
      </c>
      <c r="G54" s="2" t="s">
        <v>407</v>
      </c>
      <c r="H54" s="2" t="s">
        <v>350</v>
      </c>
      <c r="I54" s="2" t="s">
        <v>425</v>
      </c>
      <c r="J54" s="3">
        <v>46472</v>
      </c>
      <c r="K54" s="3" t="s">
        <v>370</v>
      </c>
      <c r="L54" s="4">
        <v>52</v>
      </c>
      <c r="M54" s="43"/>
      <c r="N54" s="43"/>
      <c r="O54" s="17" t="s">
        <v>168</v>
      </c>
      <c r="P54" s="4" t="s">
        <v>237</v>
      </c>
    </row>
    <row r="55" spans="1:16" x14ac:dyDescent="0.45">
      <c r="A55" s="5">
        <v>13111369</v>
      </c>
      <c r="B55" s="5" t="s">
        <v>795</v>
      </c>
      <c r="C55" s="16" t="s">
        <v>0</v>
      </c>
      <c r="D55" s="2" t="s">
        <v>239</v>
      </c>
      <c r="E55" s="2" t="s">
        <v>426</v>
      </c>
      <c r="F55" s="2" t="s">
        <v>427</v>
      </c>
      <c r="G55" s="2" t="s">
        <v>428</v>
      </c>
      <c r="H55" s="2" t="s">
        <v>243</v>
      </c>
      <c r="I55" s="2" t="s">
        <v>429</v>
      </c>
      <c r="J55" s="3">
        <v>46538</v>
      </c>
      <c r="K55" s="3" t="s">
        <v>4</v>
      </c>
      <c r="L55" s="4">
        <v>41</v>
      </c>
      <c r="M55" s="43" t="s">
        <v>430</v>
      </c>
      <c r="N55" s="43">
        <v>5</v>
      </c>
      <c r="O55" s="17" t="s">
        <v>168</v>
      </c>
      <c r="P55" s="4" t="s">
        <v>237</v>
      </c>
    </row>
    <row r="56" spans="1:16" x14ac:dyDescent="0.45">
      <c r="A56" s="5">
        <v>13111369</v>
      </c>
      <c r="B56" s="5" t="s">
        <v>795</v>
      </c>
      <c r="C56" s="16" t="s">
        <v>0</v>
      </c>
      <c r="D56" s="2" t="s">
        <v>239</v>
      </c>
      <c r="E56" s="2" t="s">
        <v>431</v>
      </c>
      <c r="F56" s="2" t="s">
        <v>432</v>
      </c>
      <c r="G56" s="2" t="s">
        <v>433</v>
      </c>
      <c r="H56" s="2" t="s">
        <v>243</v>
      </c>
      <c r="I56" s="2" t="s">
        <v>434</v>
      </c>
      <c r="J56" s="3">
        <v>46353</v>
      </c>
      <c r="K56" s="3" t="s">
        <v>167</v>
      </c>
      <c r="L56" s="4">
        <v>25</v>
      </c>
      <c r="M56" s="43"/>
      <c r="N56" s="43"/>
      <c r="O56" s="17" t="s">
        <v>168</v>
      </c>
      <c r="P56" s="4" t="s">
        <v>237</v>
      </c>
    </row>
    <row r="57" spans="1:16" x14ac:dyDescent="0.45">
      <c r="A57" s="5">
        <v>13111369</v>
      </c>
      <c r="B57" s="5" t="s">
        <v>795</v>
      </c>
      <c r="C57" s="16" t="s">
        <v>0</v>
      </c>
      <c r="D57" s="2" t="s">
        <v>239</v>
      </c>
      <c r="E57" s="2" t="s">
        <v>435</v>
      </c>
      <c r="F57" s="2" t="s">
        <v>427</v>
      </c>
      <c r="G57" s="2" t="s">
        <v>428</v>
      </c>
      <c r="H57" s="2" t="s">
        <v>243</v>
      </c>
      <c r="I57" s="2" t="s">
        <v>436</v>
      </c>
      <c r="J57" s="3">
        <v>46752</v>
      </c>
      <c r="K57" s="3" t="s">
        <v>4</v>
      </c>
      <c r="L57" s="4">
        <v>41</v>
      </c>
      <c r="M57" s="25" t="s">
        <v>437</v>
      </c>
      <c r="N57" s="25">
        <v>6</v>
      </c>
      <c r="O57" s="17" t="s">
        <v>168</v>
      </c>
      <c r="P57" s="4" t="s">
        <v>237</v>
      </c>
    </row>
    <row r="58" spans="1:16" x14ac:dyDescent="0.45">
      <c r="A58" s="5">
        <v>13111369</v>
      </c>
      <c r="B58" s="5" t="s">
        <v>795</v>
      </c>
      <c r="C58" s="16" t="s">
        <v>0</v>
      </c>
      <c r="D58" s="2" t="s">
        <v>239</v>
      </c>
      <c r="E58" s="2" t="s">
        <v>438</v>
      </c>
      <c r="F58" s="2" t="s">
        <v>241</v>
      </c>
      <c r="G58" s="2" t="s">
        <v>242</v>
      </c>
      <c r="H58" s="2" t="s">
        <v>243</v>
      </c>
      <c r="I58" s="2" t="s">
        <v>439</v>
      </c>
      <c r="J58" s="3">
        <v>46568</v>
      </c>
      <c r="K58" s="3" t="s">
        <v>4</v>
      </c>
      <c r="L58" s="4">
        <v>49</v>
      </c>
      <c r="M58" s="25" t="s">
        <v>133</v>
      </c>
      <c r="N58" s="25">
        <v>7</v>
      </c>
      <c r="O58" s="5" t="s">
        <v>224</v>
      </c>
      <c r="P58" s="4" t="s">
        <v>237</v>
      </c>
    </row>
    <row r="59" spans="1:16" x14ac:dyDescent="0.45">
      <c r="A59" s="5">
        <v>13111369</v>
      </c>
      <c r="B59" s="5" t="s">
        <v>795</v>
      </c>
      <c r="C59" s="16" t="s">
        <v>0</v>
      </c>
      <c r="D59" s="2" t="s">
        <v>239</v>
      </c>
      <c r="E59" s="2" t="s">
        <v>440</v>
      </c>
      <c r="F59" s="2" t="s">
        <v>427</v>
      </c>
      <c r="G59" s="2" t="s">
        <v>428</v>
      </c>
      <c r="H59" s="2" t="s">
        <v>243</v>
      </c>
      <c r="I59" s="2" t="s">
        <v>441</v>
      </c>
      <c r="J59" s="3">
        <v>46477</v>
      </c>
      <c r="K59" s="3" t="s">
        <v>4</v>
      </c>
      <c r="L59" s="4">
        <v>29</v>
      </c>
      <c r="M59" s="25" t="s">
        <v>442</v>
      </c>
      <c r="N59" s="25">
        <v>8</v>
      </c>
      <c r="O59" s="5" t="s">
        <v>224</v>
      </c>
      <c r="P59" s="4" t="s">
        <v>237</v>
      </c>
    </row>
    <row r="60" spans="1:16" x14ac:dyDescent="0.45">
      <c r="A60" s="5">
        <v>13111369</v>
      </c>
      <c r="B60" s="5" t="s">
        <v>795</v>
      </c>
      <c r="C60" s="16" t="s">
        <v>0</v>
      </c>
      <c r="D60" s="2" t="s">
        <v>239</v>
      </c>
      <c r="E60" s="2" t="s">
        <v>443</v>
      </c>
      <c r="F60" s="2" t="s">
        <v>444</v>
      </c>
      <c r="G60" s="2" t="s">
        <v>445</v>
      </c>
      <c r="H60" s="2" t="s">
        <v>446</v>
      </c>
      <c r="I60" s="2" t="s">
        <v>447</v>
      </c>
      <c r="J60" s="3">
        <v>46343</v>
      </c>
      <c r="K60" s="3" t="s">
        <v>4</v>
      </c>
      <c r="L60" s="4">
        <v>30</v>
      </c>
      <c r="M60" s="43" t="s">
        <v>448</v>
      </c>
      <c r="N60" s="43">
        <v>9</v>
      </c>
      <c r="O60" s="17" t="s">
        <v>168</v>
      </c>
      <c r="P60" s="4" t="s">
        <v>237</v>
      </c>
    </row>
    <row r="61" spans="1:16" x14ac:dyDescent="0.45">
      <c r="A61" s="5">
        <v>13111369</v>
      </c>
      <c r="B61" s="5" t="s">
        <v>795</v>
      </c>
      <c r="C61" s="16" t="s">
        <v>0</v>
      </c>
      <c r="D61" s="2" t="s">
        <v>239</v>
      </c>
      <c r="E61" s="2" t="s">
        <v>449</v>
      </c>
      <c r="F61" s="2" t="s">
        <v>450</v>
      </c>
      <c r="G61" s="2" t="s">
        <v>451</v>
      </c>
      <c r="H61" s="2" t="s">
        <v>446</v>
      </c>
      <c r="I61" s="2" t="s">
        <v>452</v>
      </c>
      <c r="J61" s="3">
        <v>46411</v>
      </c>
      <c r="K61" s="3" t="s">
        <v>4</v>
      </c>
      <c r="L61" s="4">
        <v>23</v>
      </c>
      <c r="M61" s="43"/>
      <c r="N61" s="43"/>
      <c r="O61" s="17" t="s">
        <v>168</v>
      </c>
      <c r="P61" s="4" t="s">
        <v>237</v>
      </c>
    </row>
    <row r="62" spans="1:16" x14ac:dyDescent="0.45">
      <c r="A62" s="5">
        <v>13111369</v>
      </c>
      <c r="B62" s="5" t="s">
        <v>795</v>
      </c>
      <c r="C62" s="16" t="s">
        <v>0</v>
      </c>
      <c r="D62" s="2" t="s">
        <v>239</v>
      </c>
      <c r="E62" s="2" t="s">
        <v>453</v>
      </c>
      <c r="F62" s="2" t="s">
        <v>454</v>
      </c>
      <c r="G62" s="2" t="s">
        <v>455</v>
      </c>
      <c r="H62" s="2" t="s">
        <v>446</v>
      </c>
      <c r="I62" s="2" t="s">
        <v>456</v>
      </c>
      <c r="J62" s="3">
        <v>46477</v>
      </c>
      <c r="K62" s="3" t="s">
        <v>4</v>
      </c>
      <c r="L62" s="4">
        <v>14</v>
      </c>
      <c r="M62" s="25" t="s">
        <v>457</v>
      </c>
      <c r="N62" s="25">
        <v>10</v>
      </c>
      <c r="O62" s="17" t="s">
        <v>168</v>
      </c>
      <c r="P62" s="4" t="s">
        <v>237</v>
      </c>
    </row>
    <row r="63" spans="1:16" x14ac:dyDescent="0.45">
      <c r="A63" s="5">
        <v>13111369</v>
      </c>
      <c r="B63" s="5" t="s">
        <v>795</v>
      </c>
      <c r="C63" s="16" t="s">
        <v>0</v>
      </c>
      <c r="D63" s="2" t="s">
        <v>239</v>
      </c>
      <c r="E63" s="2" t="s">
        <v>458</v>
      </c>
      <c r="F63" s="2" t="s">
        <v>459</v>
      </c>
      <c r="G63" s="2" t="s">
        <v>460</v>
      </c>
      <c r="H63" s="2" t="s">
        <v>446</v>
      </c>
      <c r="I63" s="2" t="s">
        <v>461</v>
      </c>
      <c r="J63" s="3">
        <v>46446</v>
      </c>
      <c r="K63" s="3" t="s">
        <v>4</v>
      </c>
      <c r="L63" s="4">
        <v>25</v>
      </c>
      <c r="M63" s="43" t="s">
        <v>462</v>
      </c>
      <c r="N63" s="43">
        <v>11</v>
      </c>
      <c r="O63" s="17" t="s">
        <v>168</v>
      </c>
      <c r="P63" s="4" t="s">
        <v>237</v>
      </c>
    </row>
    <row r="64" spans="1:16" x14ac:dyDescent="0.45">
      <c r="A64" s="5">
        <v>13111369</v>
      </c>
      <c r="B64" s="5" t="s">
        <v>795</v>
      </c>
      <c r="C64" s="16" t="s">
        <v>0</v>
      </c>
      <c r="D64" s="2" t="s">
        <v>239</v>
      </c>
      <c r="E64" s="2" t="s">
        <v>463</v>
      </c>
      <c r="F64" s="2" t="s">
        <v>464</v>
      </c>
      <c r="G64" s="2" t="s">
        <v>465</v>
      </c>
      <c r="H64" s="2" t="s">
        <v>446</v>
      </c>
      <c r="I64" s="2" t="s">
        <v>466</v>
      </c>
      <c r="J64" s="3">
        <v>46344</v>
      </c>
      <c r="K64" s="3" t="s">
        <v>4</v>
      </c>
      <c r="L64" s="4">
        <v>32</v>
      </c>
      <c r="M64" s="43"/>
      <c r="N64" s="43"/>
      <c r="O64" s="17" t="s">
        <v>168</v>
      </c>
      <c r="P64" s="4" t="s">
        <v>237</v>
      </c>
    </row>
    <row r="65" spans="1:16" x14ac:dyDescent="0.45">
      <c r="A65" s="5">
        <v>13111369</v>
      </c>
      <c r="B65" s="5" t="s">
        <v>795</v>
      </c>
      <c r="C65" s="16" t="s">
        <v>0</v>
      </c>
      <c r="D65" s="2" t="s">
        <v>239</v>
      </c>
      <c r="E65" s="2" t="s">
        <v>467</v>
      </c>
      <c r="F65" s="2" t="s">
        <v>468</v>
      </c>
      <c r="G65" s="2" t="s">
        <v>469</v>
      </c>
      <c r="H65" s="2" t="s">
        <v>446</v>
      </c>
      <c r="I65" s="2" t="s">
        <v>470</v>
      </c>
      <c r="J65" s="3">
        <v>46467</v>
      </c>
      <c r="K65" s="3" t="s">
        <v>4</v>
      </c>
      <c r="L65" s="4">
        <v>22</v>
      </c>
      <c r="M65" s="43" t="s">
        <v>471</v>
      </c>
      <c r="N65" s="43">
        <v>12</v>
      </c>
      <c r="O65" s="17" t="s">
        <v>168</v>
      </c>
      <c r="P65" s="4" t="s">
        <v>237</v>
      </c>
    </row>
    <row r="66" spans="1:16" x14ac:dyDescent="0.45">
      <c r="A66" s="5">
        <v>13111369</v>
      </c>
      <c r="B66" s="5" t="s">
        <v>795</v>
      </c>
      <c r="C66" s="16" t="s">
        <v>0</v>
      </c>
      <c r="D66" s="2" t="s">
        <v>239</v>
      </c>
      <c r="E66" s="2" t="s">
        <v>472</v>
      </c>
      <c r="F66" s="2" t="s">
        <v>464</v>
      </c>
      <c r="G66" s="2" t="s">
        <v>465</v>
      </c>
      <c r="H66" s="2" t="s">
        <v>446</v>
      </c>
      <c r="I66" s="2" t="s">
        <v>473</v>
      </c>
      <c r="J66" s="3">
        <v>46417</v>
      </c>
      <c r="K66" s="3" t="s">
        <v>4</v>
      </c>
      <c r="L66" s="4">
        <v>28</v>
      </c>
      <c r="M66" s="43"/>
      <c r="N66" s="43"/>
      <c r="O66" s="17" t="s">
        <v>168</v>
      </c>
      <c r="P66" s="4" t="s">
        <v>237</v>
      </c>
    </row>
    <row r="67" spans="1:16" x14ac:dyDescent="0.45">
      <c r="A67" s="5">
        <v>13111369</v>
      </c>
      <c r="B67" s="5" t="s">
        <v>795</v>
      </c>
      <c r="C67" s="16" t="s">
        <v>0</v>
      </c>
      <c r="D67" s="2" t="s">
        <v>239</v>
      </c>
      <c r="E67" s="2" t="s">
        <v>474</v>
      </c>
      <c r="F67" s="2" t="s">
        <v>464</v>
      </c>
      <c r="G67" s="2" t="s">
        <v>465</v>
      </c>
      <c r="H67" s="2" t="s">
        <v>446</v>
      </c>
      <c r="I67" s="2" t="s">
        <v>475</v>
      </c>
      <c r="J67" s="3">
        <v>46260</v>
      </c>
      <c r="K67" s="3" t="s">
        <v>4</v>
      </c>
      <c r="L67" s="4">
        <v>10</v>
      </c>
      <c r="M67" s="43" t="s">
        <v>476</v>
      </c>
      <c r="N67" s="43">
        <v>13</v>
      </c>
      <c r="O67" s="17" t="s">
        <v>168</v>
      </c>
      <c r="P67" s="4" t="s">
        <v>237</v>
      </c>
    </row>
    <row r="68" spans="1:16" x14ac:dyDescent="0.45">
      <c r="A68" s="5">
        <v>13111369</v>
      </c>
      <c r="B68" s="5" t="s">
        <v>795</v>
      </c>
      <c r="C68" s="16" t="s">
        <v>0</v>
      </c>
      <c r="D68" s="2" t="s">
        <v>239</v>
      </c>
      <c r="E68" s="2" t="s">
        <v>477</v>
      </c>
      <c r="F68" s="2" t="s">
        <v>464</v>
      </c>
      <c r="G68" s="2" t="s">
        <v>465</v>
      </c>
      <c r="H68" s="2" t="s">
        <v>446</v>
      </c>
      <c r="I68" s="2" t="s">
        <v>478</v>
      </c>
      <c r="J68" s="3">
        <v>46452</v>
      </c>
      <c r="K68" s="3" t="s">
        <v>4</v>
      </c>
      <c r="L68" s="4">
        <v>44</v>
      </c>
      <c r="M68" s="43"/>
      <c r="N68" s="43"/>
      <c r="O68" s="17" t="s">
        <v>168</v>
      </c>
      <c r="P68" s="4" t="s">
        <v>237</v>
      </c>
    </row>
    <row r="69" spans="1:16" x14ac:dyDescent="0.45">
      <c r="A69" s="5">
        <v>13111369</v>
      </c>
      <c r="B69" s="5" t="s">
        <v>795</v>
      </c>
      <c r="C69" s="16" t="s">
        <v>0</v>
      </c>
      <c r="D69" s="2" t="s">
        <v>239</v>
      </c>
      <c r="E69" s="2" t="s">
        <v>479</v>
      </c>
      <c r="F69" s="2" t="s">
        <v>468</v>
      </c>
      <c r="G69" s="2" t="s">
        <v>469</v>
      </c>
      <c r="H69" s="2" t="s">
        <v>446</v>
      </c>
      <c r="I69" s="2" t="s">
        <v>480</v>
      </c>
      <c r="J69" s="3">
        <v>46463</v>
      </c>
      <c r="K69" s="3" t="s">
        <v>4</v>
      </c>
      <c r="L69" s="4">
        <v>41</v>
      </c>
      <c r="M69" s="43" t="s">
        <v>481</v>
      </c>
      <c r="N69" s="43">
        <v>14</v>
      </c>
      <c r="O69" s="17" t="s">
        <v>168</v>
      </c>
      <c r="P69" s="4" t="s">
        <v>237</v>
      </c>
    </row>
    <row r="70" spans="1:16" x14ac:dyDescent="0.45">
      <c r="A70" s="5">
        <v>13111369</v>
      </c>
      <c r="B70" s="5" t="s">
        <v>795</v>
      </c>
      <c r="C70" s="16" t="s">
        <v>0</v>
      </c>
      <c r="D70" s="2" t="s">
        <v>239</v>
      </c>
      <c r="E70" s="2" t="s">
        <v>482</v>
      </c>
      <c r="F70" s="2" t="s">
        <v>483</v>
      </c>
      <c r="G70" s="2" t="s">
        <v>484</v>
      </c>
      <c r="H70" s="2" t="s">
        <v>446</v>
      </c>
      <c r="I70" s="2" t="s">
        <v>485</v>
      </c>
      <c r="J70" s="3">
        <v>46402</v>
      </c>
      <c r="K70" s="3" t="s">
        <v>4</v>
      </c>
      <c r="L70" s="4">
        <v>14</v>
      </c>
      <c r="M70" s="43"/>
      <c r="N70" s="43"/>
      <c r="O70" s="17" t="s">
        <v>168</v>
      </c>
      <c r="P70" s="4" t="s">
        <v>237</v>
      </c>
    </row>
    <row r="71" spans="1:16" x14ac:dyDescent="0.45">
      <c r="A71" s="5">
        <v>13111369</v>
      </c>
      <c r="B71" s="5" t="s">
        <v>795</v>
      </c>
      <c r="C71" s="16" t="s">
        <v>0</v>
      </c>
      <c r="D71" s="2" t="s">
        <v>239</v>
      </c>
      <c r="E71" s="2" t="s">
        <v>486</v>
      </c>
      <c r="F71" s="2" t="s">
        <v>464</v>
      </c>
      <c r="G71" s="2" t="s">
        <v>465</v>
      </c>
      <c r="H71" s="2" t="s">
        <v>446</v>
      </c>
      <c r="I71" s="2" t="s">
        <v>487</v>
      </c>
      <c r="J71" s="3">
        <v>46466</v>
      </c>
      <c r="K71" s="3" t="s">
        <v>4</v>
      </c>
      <c r="L71" s="4">
        <v>22</v>
      </c>
      <c r="M71" s="43" t="s">
        <v>488</v>
      </c>
      <c r="N71" s="43">
        <v>15</v>
      </c>
      <c r="O71" s="17" t="s">
        <v>168</v>
      </c>
      <c r="P71" s="4" t="s">
        <v>237</v>
      </c>
    </row>
    <row r="72" spans="1:16" x14ac:dyDescent="0.45">
      <c r="A72" s="5">
        <v>13111369</v>
      </c>
      <c r="B72" s="5" t="s">
        <v>795</v>
      </c>
      <c r="C72" s="16" t="s">
        <v>0</v>
      </c>
      <c r="D72" s="2" t="s">
        <v>239</v>
      </c>
      <c r="E72" s="2" t="s">
        <v>489</v>
      </c>
      <c r="F72" s="2" t="s">
        <v>490</v>
      </c>
      <c r="G72" s="2" t="s">
        <v>491</v>
      </c>
      <c r="H72" s="2" t="s">
        <v>446</v>
      </c>
      <c r="I72" s="2" t="s">
        <v>492</v>
      </c>
      <c r="J72" s="3">
        <v>46501</v>
      </c>
      <c r="K72" s="3" t="s">
        <v>4</v>
      </c>
      <c r="L72" s="4">
        <v>33</v>
      </c>
      <c r="M72" s="43"/>
      <c r="N72" s="43"/>
      <c r="O72" s="17" t="s">
        <v>168</v>
      </c>
      <c r="P72" s="4" t="s">
        <v>237</v>
      </c>
    </row>
    <row r="73" spans="1:16" x14ac:dyDescent="0.45">
      <c r="A73" s="5">
        <v>13111369</v>
      </c>
      <c r="B73" s="5" t="s">
        <v>795</v>
      </c>
      <c r="C73" s="16" t="s">
        <v>0</v>
      </c>
      <c r="D73" s="2" t="s">
        <v>239</v>
      </c>
      <c r="E73" s="2" t="s">
        <v>493</v>
      </c>
      <c r="F73" s="2" t="s">
        <v>494</v>
      </c>
      <c r="G73" s="2" t="s">
        <v>495</v>
      </c>
      <c r="H73" s="2" t="s">
        <v>446</v>
      </c>
      <c r="I73" s="2" t="s">
        <v>496</v>
      </c>
      <c r="J73" s="3">
        <v>46456</v>
      </c>
      <c r="K73" s="3" t="s">
        <v>4</v>
      </c>
      <c r="L73" s="4">
        <v>42</v>
      </c>
      <c r="M73" s="43" t="s">
        <v>497</v>
      </c>
      <c r="N73" s="43">
        <v>16</v>
      </c>
      <c r="O73" s="17" t="s">
        <v>168</v>
      </c>
      <c r="P73" s="4" t="s">
        <v>237</v>
      </c>
    </row>
    <row r="74" spans="1:16" x14ac:dyDescent="0.45">
      <c r="A74" s="5">
        <v>13111369</v>
      </c>
      <c r="B74" s="5" t="s">
        <v>795</v>
      </c>
      <c r="C74" s="16" t="s">
        <v>0</v>
      </c>
      <c r="D74" s="2" t="s">
        <v>239</v>
      </c>
      <c r="E74" s="2" t="s">
        <v>498</v>
      </c>
      <c r="F74" s="2" t="s">
        <v>483</v>
      </c>
      <c r="G74" s="2" t="s">
        <v>484</v>
      </c>
      <c r="H74" s="2" t="s">
        <v>446</v>
      </c>
      <c r="I74" s="2" t="s">
        <v>499</v>
      </c>
      <c r="J74" s="3">
        <v>46450</v>
      </c>
      <c r="K74" s="3" t="s">
        <v>4</v>
      </c>
      <c r="L74" s="4">
        <v>14</v>
      </c>
      <c r="M74" s="43"/>
      <c r="N74" s="43"/>
      <c r="O74" s="17" t="s">
        <v>168</v>
      </c>
      <c r="P74" s="4" t="s">
        <v>237</v>
      </c>
    </row>
    <row r="75" spans="1:16" x14ac:dyDescent="0.45">
      <c r="A75" s="5">
        <v>13111369</v>
      </c>
      <c r="B75" s="5" t="s">
        <v>795</v>
      </c>
      <c r="C75" s="16" t="s">
        <v>0</v>
      </c>
      <c r="D75" s="2" t="s">
        <v>239</v>
      </c>
      <c r="E75" s="2" t="s">
        <v>500</v>
      </c>
      <c r="F75" s="2" t="s">
        <v>483</v>
      </c>
      <c r="G75" s="2" t="s">
        <v>484</v>
      </c>
      <c r="H75" s="2" t="s">
        <v>446</v>
      </c>
      <c r="I75" s="2" t="s">
        <v>501</v>
      </c>
      <c r="J75" s="3">
        <v>46335</v>
      </c>
      <c r="K75" s="3" t="s">
        <v>4</v>
      </c>
      <c r="L75" s="4">
        <v>26</v>
      </c>
      <c r="M75" s="43" t="s">
        <v>502</v>
      </c>
      <c r="N75" s="43">
        <v>17</v>
      </c>
      <c r="O75" s="17" t="s">
        <v>168</v>
      </c>
      <c r="P75" s="4" t="s">
        <v>237</v>
      </c>
    </row>
    <row r="76" spans="1:16" x14ac:dyDescent="0.45">
      <c r="A76" s="5">
        <v>13111369</v>
      </c>
      <c r="B76" s="5" t="s">
        <v>795</v>
      </c>
      <c r="C76" s="16" t="s">
        <v>0</v>
      </c>
      <c r="D76" s="2" t="s">
        <v>239</v>
      </c>
      <c r="E76" s="2" t="s">
        <v>503</v>
      </c>
      <c r="F76" s="2" t="s">
        <v>490</v>
      </c>
      <c r="G76" s="2" t="s">
        <v>491</v>
      </c>
      <c r="H76" s="2" t="s">
        <v>446</v>
      </c>
      <c r="I76" s="2" t="s">
        <v>504</v>
      </c>
      <c r="J76" s="3">
        <v>46532</v>
      </c>
      <c r="K76" s="3" t="s">
        <v>4</v>
      </c>
      <c r="L76" s="4">
        <v>33</v>
      </c>
      <c r="M76" s="43"/>
      <c r="N76" s="43"/>
      <c r="O76" s="17" t="s">
        <v>168</v>
      </c>
      <c r="P76" s="4" t="s">
        <v>237</v>
      </c>
    </row>
    <row r="77" spans="1:16" x14ac:dyDescent="0.45">
      <c r="A77" s="5">
        <v>13111369</v>
      </c>
      <c r="B77" s="5" t="s">
        <v>795</v>
      </c>
      <c r="C77" s="16" t="s">
        <v>0</v>
      </c>
      <c r="D77" s="2" t="s">
        <v>239</v>
      </c>
      <c r="E77" s="2" t="s">
        <v>505</v>
      </c>
      <c r="F77" s="2" t="s">
        <v>506</v>
      </c>
      <c r="G77" s="2" t="s">
        <v>507</v>
      </c>
      <c r="H77" s="2" t="s">
        <v>446</v>
      </c>
      <c r="I77" s="2" t="s">
        <v>508</v>
      </c>
      <c r="J77" s="3">
        <v>46399</v>
      </c>
      <c r="K77" s="3" t="s">
        <v>4</v>
      </c>
      <c r="L77" s="4">
        <v>15</v>
      </c>
      <c r="M77" s="43" t="s">
        <v>509</v>
      </c>
      <c r="N77" s="43">
        <v>18</v>
      </c>
      <c r="O77" s="17" t="s">
        <v>168</v>
      </c>
      <c r="P77" s="4" t="s">
        <v>237</v>
      </c>
    </row>
    <row r="78" spans="1:16" x14ac:dyDescent="0.45">
      <c r="A78" s="5">
        <v>13111369</v>
      </c>
      <c r="B78" s="5" t="s">
        <v>795</v>
      </c>
      <c r="C78" s="16" t="s">
        <v>0</v>
      </c>
      <c r="D78" s="2" t="s">
        <v>239</v>
      </c>
      <c r="E78" s="2" t="s">
        <v>510</v>
      </c>
      <c r="F78" s="2" t="s">
        <v>490</v>
      </c>
      <c r="G78" s="2" t="s">
        <v>491</v>
      </c>
      <c r="H78" s="2" t="s">
        <v>446</v>
      </c>
      <c r="I78" s="2" t="s">
        <v>511</v>
      </c>
      <c r="J78" s="3">
        <v>46554</v>
      </c>
      <c r="K78" s="3" t="s">
        <v>4</v>
      </c>
      <c r="L78" s="4">
        <v>38</v>
      </c>
      <c r="M78" s="43"/>
      <c r="N78" s="43"/>
      <c r="O78" s="17" t="s">
        <v>168</v>
      </c>
      <c r="P78" s="4" t="s">
        <v>237</v>
      </c>
    </row>
    <row r="79" spans="1:16" x14ac:dyDescent="0.45">
      <c r="A79" s="5">
        <v>13111369</v>
      </c>
      <c r="B79" s="5" t="s">
        <v>795</v>
      </c>
      <c r="C79" s="16" t="s">
        <v>0</v>
      </c>
      <c r="D79" s="2" t="s">
        <v>239</v>
      </c>
      <c r="E79" s="2" t="s">
        <v>512</v>
      </c>
      <c r="F79" s="2" t="s">
        <v>490</v>
      </c>
      <c r="G79" s="2" t="s">
        <v>491</v>
      </c>
      <c r="H79" s="2" t="s">
        <v>446</v>
      </c>
      <c r="I79" s="2" t="s">
        <v>513</v>
      </c>
      <c r="J79" s="3">
        <v>46603</v>
      </c>
      <c r="K79" s="3" t="s">
        <v>4</v>
      </c>
      <c r="L79" s="4">
        <v>17</v>
      </c>
      <c r="M79" s="43" t="s">
        <v>514</v>
      </c>
      <c r="N79" s="43">
        <v>19</v>
      </c>
      <c r="O79" s="17" t="s">
        <v>168</v>
      </c>
      <c r="P79" s="4" t="s">
        <v>237</v>
      </c>
    </row>
    <row r="80" spans="1:16" x14ac:dyDescent="0.45">
      <c r="A80" s="5">
        <v>13111369</v>
      </c>
      <c r="B80" s="5" t="s">
        <v>795</v>
      </c>
      <c r="C80" s="16" t="s">
        <v>0</v>
      </c>
      <c r="D80" s="2" t="s">
        <v>239</v>
      </c>
      <c r="E80" s="2" t="s">
        <v>515</v>
      </c>
      <c r="F80" s="2" t="s">
        <v>490</v>
      </c>
      <c r="G80" s="2" t="s">
        <v>491</v>
      </c>
      <c r="H80" s="2" t="s">
        <v>446</v>
      </c>
      <c r="I80" s="2" t="s">
        <v>516</v>
      </c>
      <c r="J80" s="3">
        <v>46638</v>
      </c>
      <c r="K80" s="3" t="s">
        <v>4</v>
      </c>
      <c r="L80" s="4">
        <v>38</v>
      </c>
      <c r="M80" s="43"/>
      <c r="N80" s="43"/>
      <c r="O80" s="17" t="s">
        <v>168</v>
      </c>
      <c r="P80" s="4" t="s">
        <v>237</v>
      </c>
    </row>
    <row r="81" spans="1:16" x14ac:dyDescent="0.45">
      <c r="A81" s="5">
        <v>13111369</v>
      </c>
      <c r="B81" s="5" t="s">
        <v>795</v>
      </c>
      <c r="C81" s="16" t="s">
        <v>0</v>
      </c>
      <c r="D81" s="2" t="s">
        <v>239</v>
      </c>
      <c r="E81" s="2" t="s">
        <v>517</v>
      </c>
      <c r="F81" s="2" t="s">
        <v>490</v>
      </c>
      <c r="G81" s="2" t="s">
        <v>491</v>
      </c>
      <c r="H81" s="2" t="s">
        <v>446</v>
      </c>
      <c r="I81" s="2" t="s">
        <v>518</v>
      </c>
      <c r="J81" s="3">
        <v>46681</v>
      </c>
      <c r="K81" s="3" t="s">
        <v>4</v>
      </c>
      <c r="L81" s="4">
        <v>34</v>
      </c>
      <c r="M81" s="43" t="s">
        <v>519</v>
      </c>
      <c r="N81" s="43">
        <v>20</v>
      </c>
      <c r="O81" s="17" t="s">
        <v>168</v>
      </c>
      <c r="P81" s="4" t="s">
        <v>237</v>
      </c>
    </row>
    <row r="82" spans="1:16" x14ac:dyDescent="0.45">
      <c r="A82" s="5">
        <v>13111369</v>
      </c>
      <c r="B82" s="5" t="s">
        <v>795</v>
      </c>
      <c r="C82" s="16" t="s">
        <v>0</v>
      </c>
      <c r="D82" s="2" t="s">
        <v>239</v>
      </c>
      <c r="E82" s="2" t="s">
        <v>520</v>
      </c>
      <c r="F82" s="2" t="s">
        <v>521</v>
      </c>
      <c r="G82" s="2" t="s">
        <v>522</v>
      </c>
      <c r="H82" s="2" t="s">
        <v>446</v>
      </c>
      <c r="I82" s="2" t="s">
        <v>523</v>
      </c>
      <c r="J82" s="3">
        <v>46680</v>
      </c>
      <c r="K82" s="3" t="s">
        <v>4</v>
      </c>
      <c r="L82" s="4">
        <v>13</v>
      </c>
      <c r="M82" s="43"/>
      <c r="N82" s="43"/>
      <c r="O82" s="17" t="s">
        <v>168</v>
      </c>
      <c r="P82" s="4" t="s">
        <v>237</v>
      </c>
    </row>
    <row r="83" spans="1:16" x14ac:dyDescent="0.45">
      <c r="A83" s="5">
        <v>13111369</v>
      </c>
      <c r="B83" s="5" t="s">
        <v>795</v>
      </c>
      <c r="C83" s="16" t="s">
        <v>0</v>
      </c>
      <c r="D83" s="2" t="s">
        <v>239</v>
      </c>
      <c r="E83" s="2" t="s">
        <v>524</v>
      </c>
      <c r="F83" s="2" t="s">
        <v>413</v>
      </c>
      <c r="G83" s="2" t="s">
        <v>414</v>
      </c>
      <c r="H83" s="2" t="s">
        <v>350</v>
      </c>
      <c r="I83" s="2" t="s">
        <v>525</v>
      </c>
      <c r="J83" s="3">
        <v>46637</v>
      </c>
      <c r="K83" s="3" t="s">
        <v>370</v>
      </c>
      <c r="L83" s="4">
        <v>93</v>
      </c>
      <c r="M83" s="25" t="s">
        <v>526</v>
      </c>
      <c r="N83" s="25">
        <v>21</v>
      </c>
      <c r="O83" s="5" t="s">
        <v>224</v>
      </c>
      <c r="P83" s="4" t="s">
        <v>237</v>
      </c>
    </row>
    <row r="84" spans="1:16" x14ac:dyDescent="0.45">
      <c r="A84" s="5"/>
      <c r="B84" s="5"/>
      <c r="C84" s="42" t="s">
        <v>30</v>
      </c>
      <c r="D84" s="42"/>
      <c r="E84" s="42"/>
      <c r="F84" s="42"/>
      <c r="G84" s="42"/>
      <c r="H84" s="42"/>
      <c r="I84" s="42"/>
      <c r="J84" s="42"/>
      <c r="K84" s="42"/>
      <c r="L84" s="7">
        <f>SUM(L48:L83)</f>
        <v>1379</v>
      </c>
      <c r="M84" s="21" t="s">
        <v>675</v>
      </c>
      <c r="N84" s="21" t="s">
        <v>675</v>
      </c>
      <c r="O84" s="5"/>
      <c r="P84" s="4"/>
    </row>
    <row r="85" spans="1:16" x14ac:dyDescent="0.45">
      <c r="A85" s="32">
        <v>13111367</v>
      </c>
      <c r="B85" s="32" t="s">
        <v>796</v>
      </c>
      <c r="C85" s="16" t="s">
        <v>0</v>
      </c>
      <c r="D85" s="2" t="s">
        <v>239</v>
      </c>
      <c r="E85" s="2" t="s">
        <v>527</v>
      </c>
      <c r="F85" s="2" t="s">
        <v>528</v>
      </c>
      <c r="G85" s="2" t="s">
        <v>529</v>
      </c>
      <c r="H85" s="2" t="s">
        <v>243</v>
      </c>
      <c r="I85" s="2" t="s">
        <v>530</v>
      </c>
      <c r="J85" s="3">
        <v>46721</v>
      </c>
      <c r="K85" s="3" t="s">
        <v>4</v>
      </c>
      <c r="L85" s="4">
        <v>28</v>
      </c>
      <c r="M85" s="43" t="s">
        <v>134</v>
      </c>
      <c r="N85" s="43">
        <v>1</v>
      </c>
      <c r="O85" s="17" t="s">
        <v>168</v>
      </c>
      <c r="P85" s="4" t="s">
        <v>237</v>
      </c>
    </row>
    <row r="86" spans="1:16" x14ac:dyDescent="0.45">
      <c r="A86" s="32">
        <v>13111367</v>
      </c>
      <c r="B86" s="32" t="s">
        <v>796</v>
      </c>
      <c r="C86" s="16" t="s">
        <v>0</v>
      </c>
      <c r="D86" s="2" t="s">
        <v>239</v>
      </c>
      <c r="E86" s="2" t="s">
        <v>531</v>
      </c>
      <c r="F86" s="2" t="s">
        <v>528</v>
      </c>
      <c r="G86" s="2" t="s">
        <v>529</v>
      </c>
      <c r="H86" s="2" t="s">
        <v>243</v>
      </c>
      <c r="I86" s="2" t="s">
        <v>532</v>
      </c>
      <c r="J86" s="3">
        <v>46744</v>
      </c>
      <c r="K86" s="3" t="s">
        <v>4</v>
      </c>
      <c r="L86" s="4">
        <v>30</v>
      </c>
      <c r="M86" s="43"/>
      <c r="N86" s="43"/>
      <c r="O86" s="17" t="s">
        <v>168</v>
      </c>
      <c r="P86" s="4" t="s">
        <v>237</v>
      </c>
    </row>
    <row r="87" spans="1:16" x14ac:dyDescent="0.45">
      <c r="A87" s="32">
        <v>13111367</v>
      </c>
      <c r="B87" s="32" t="s">
        <v>796</v>
      </c>
      <c r="C87" s="16" t="s">
        <v>0</v>
      </c>
      <c r="D87" s="2" t="s">
        <v>239</v>
      </c>
      <c r="E87" s="2" t="s">
        <v>533</v>
      </c>
      <c r="F87" s="2" t="s">
        <v>534</v>
      </c>
      <c r="G87" s="2" t="s">
        <v>535</v>
      </c>
      <c r="H87" s="2" t="s">
        <v>243</v>
      </c>
      <c r="I87" s="2" t="s">
        <v>536</v>
      </c>
      <c r="J87" s="3">
        <v>46507</v>
      </c>
      <c r="K87" s="3" t="s">
        <v>4</v>
      </c>
      <c r="L87" s="4">
        <v>29</v>
      </c>
      <c r="M87" s="43"/>
      <c r="N87" s="43"/>
      <c r="O87" s="17" t="s">
        <v>168</v>
      </c>
      <c r="P87" s="4" t="s">
        <v>237</v>
      </c>
    </row>
    <row r="88" spans="1:16" x14ac:dyDescent="0.45">
      <c r="A88" s="32">
        <v>13111367</v>
      </c>
      <c r="B88" s="32" t="s">
        <v>796</v>
      </c>
      <c r="C88" s="16" t="s">
        <v>0</v>
      </c>
      <c r="D88" s="2" t="s">
        <v>239</v>
      </c>
      <c r="E88" s="2" t="s">
        <v>537</v>
      </c>
      <c r="F88" s="2" t="s">
        <v>534</v>
      </c>
      <c r="G88" s="2" t="s">
        <v>535</v>
      </c>
      <c r="H88" s="2" t="s">
        <v>243</v>
      </c>
      <c r="I88" s="2" t="s">
        <v>538</v>
      </c>
      <c r="J88" s="3">
        <v>46538</v>
      </c>
      <c r="K88" s="3" t="s">
        <v>4</v>
      </c>
      <c r="L88" s="4">
        <v>26</v>
      </c>
      <c r="M88" s="43"/>
      <c r="N88" s="43"/>
      <c r="O88" s="17" t="s">
        <v>168</v>
      </c>
      <c r="P88" s="4" t="s">
        <v>237</v>
      </c>
    </row>
    <row r="89" spans="1:16" x14ac:dyDescent="0.45">
      <c r="A89" s="32">
        <v>13111367</v>
      </c>
      <c r="B89" s="32" t="s">
        <v>796</v>
      </c>
      <c r="C89" s="16" t="s">
        <v>0</v>
      </c>
      <c r="D89" s="2" t="s">
        <v>239</v>
      </c>
      <c r="E89" s="2" t="s">
        <v>539</v>
      </c>
      <c r="F89" s="2" t="s">
        <v>528</v>
      </c>
      <c r="G89" s="2" t="s">
        <v>529</v>
      </c>
      <c r="H89" s="2" t="s">
        <v>243</v>
      </c>
      <c r="I89" s="2" t="s">
        <v>540</v>
      </c>
      <c r="J89" s="3">
        <v>46780</v>
      </c>
      <c r="K89" s="3" t="s">
        <v>4</v>
      </c>
      <c r="L89" s="4">
        <v>38</v>
      </c>
      <c r="M89" s="43" t="s">
        <v>135</v>
      </c>
      <c r="N89" s="43">
        <v>2</v>
      </c>
      <c r="O89" s="17" t="s">
        <v>168</v>
      </c>
      <c r="P89" s="4" t="s">
        <v>237</v>
      </c>
    </row>
    <row r="90" spans="1:16" x14ac:dyDescent="0.45">
      <c r="A90" s="32">
        <v>13111367</v>
      </c>
      <c r="B90" s="32" t="s">
        <v>796</v>
      </c>
      <c r="C90" s="16" t="s">
        <v>0</v>
      </c>
      <c r="D90" s="2" t="s">
        <v>239</v>
      </c>
      <c r="E90" s="2" t="s">
        <v>541</v>
      </c>
      <c r="F90" s="2" t="s">
        <v>542</v>
      </c>
      <c r="G90" s="2" t="s">
        <v>543</v>
      </c>
      <c r="H90" s="2" t="s">
        <v>243</v>
      </c>
      <c r="I90" s="2" t="s">
        <v>544</v>
      </c>
      <c r="J90" s="3">
        <v>46518</v>
      </c>
      <c r="K90" s="3" t="s">
        <v>4</v>
      </c>
      <c r="L90" s="4">
        <v>38</v>
      </c>
      <c r="M90" s="43"/>
      <c r="N90" s="43"/>
      <c r="O90" s="17" t="s">
        <v>168</v>
      </c>
      <c r="P90" s="4" t="s">
        <v>237</v>
      </c>
    </row>
    <row r="91" spans="1:16" x14ac:dyDescent="0.45">
      <c r="A91" s="32">
        <v>13111367</v>
      </c>
      <c r="B91" s="32" t="s">
        <v>796</v>
      </c>
      <c r="C91" s="16" t="s">
        <v>0</v>
      </c>
      <c r="D91" s="2" t="s">
        <v>239</v>
      </c>
      <c r="E91" s="2" t="s">
        <v>545</v>
      </c>
      <c r="F91" s="2" t="s">
        <v>546</v>
      </c>
      <c r="G91" s="2" t="s">
        <v>547</v>
      </c>
      <c r="H91" s="2" t="s">
        <v>243</v>
      </c>
      <c r="I91" s="2" t="s">
        <v>548</v>
      </c>
      <c r="J91" s="3">
        <v>46296</v>
      </c>
      <c r="K91" s="3" t="s">
        <v>13</v>
      </c>
      <c r="L91" s="4">
        <v>17</v>
      </c>
      <c r="M91" s="43"/>
      <c r="N91" s="43"/>
      <c r="O91" s="17" t="s">
        <v>168</v>
      </c>
      <c r="P91" s="4" t="s">
        <v>237</v>
      </c>
    </row>
    <row r="92" spans="1:16" x14ac:dyDescent="0.45">
      <c r="A92" s="32">
        <v>13111367</v>
      </c>
      <c r="B92" s="32" t="s">
        <v>796</v>
      </c>
      <c r="C92" s="16" t="s">
        <v>0</v>
      </c>
      <c r="D92" s="2" t="s">
        <v>239</v>
      </c>
      <c r="E92" s="2" t="s">
        <v>549</v>
      </c>
      <c r="F92" s="2" t="s">
        <v>542</v>
      </c>
      <c r="G92" s="2" t="s">
        <v>543</v>
      </c>
      <c r="H92" s="2" t="s">
        <v>243</v>
      </c>
      <c r="I92" s="2" t="s">
        <v>550</v>
      </c>
      <c r="J92" s="3">
        <v>46628</v>
      </c>
      <c r="K92" s="3" t="s">
        <v>4</v>
      </c>
      <c r="L92" s="4">
        <v>31</v>
      </c>
      <c r="M92" s="43" t="s">
        <v>136</v>
      </c>
      <c r="N92" s="43">
        <v>3</v>
      </c>
      <c r="O92" s="17" t="s">
        <v>168</v>
      </c>
      <c r="P92" s="4" t="s">
        <v>237</v>
      </c>
    </row>
    <row r="93" spans="1:16" x14ac:dyDescent="0.45">
      <c r="A93" s="32">
        <v>13111367</v>
      </c>
      <c r="B93" s="32" t="s">
        <v>796</v>
      </c>
      <c r="C93" s="16" t="s">
        <v>0</v>
      </c>
      <c r="D93" s="2" t="s">
        <v>239</v>
      </c>
      <c r="E93" s="2" t="s">
        <v>551</v>
      </c>
      <c r="F93" s="2" t="s">
        <v>534</v>
      </c>
      <c r="G93" s="2" t="s">
        <v>535</v>
      </c>
      <c r="H93" s="2" t="s">
        <v>243</v>
      </c>
      <c r="I93" s="2" t="s">
        <v>552</v>
      </c>
      <c r="J93" s="3">
        <v>46481</v>
      </c>
      <c r="K93" s="3" t="s">
        <v>13</v>
      </c>
      <c r="L93" s="4">
        <v>72</v>
      </c>
      <c r="M93" s="43"/>
      <c r="N93" s="43"/>
      <c r="O93" s="17" t="s">
        <v>168</v>
      </c>
      <c r="P93" s="4" t="s">
        <v>237</v>
      </c>
    </row>
    <row r="94" spans="1:16" x14ac:dyDescent="0.45">
      <c r="A94" s="32">
        <v>13111367</v>
      </c>
      <c r="B94" s="32" t="s">
        <v>796</v>
      </c>
      <c r="C94" s="16" t="s">
        <v>0</v>
      </c>
      <c r="D94" s="2" t="s">
        <v>239</v>
      </c>
      <c r="E94" s="2" t="s">
        <v>553</v>
      </c>
      <c r="F94" s="2" t="s">
        <v>542</v>
      </c>
      <c r="G94" s="2" t="s">
        <v>543</v>
      </c>
      <c r="H94" s="2" t="s">
        <v>243</v>
      </c>
      <c r="I94" s="2" t="s">
        <v>554</v>
      </c>
      <c r="J94" s="3">
        <v>46602</v>
      </c>
      <c r="K94" s="3" t="s">
        <v>4</v>
      </c>
      <c r="L94" s="4">
        <v>50</v>
      </c>
      <c r="M94" s="43" t="s">
        <v>137</v>
      </c>
      <c r="N94" s="43">
        <v>4</v>
      </c>
      <c r="O94" s="17" t="s">
        <v>168</v>
      </c>
      <c r="P94" s="4" t="s">
        <v>237</v>
      </c>
    </row>
    <row r="95" spans="1:16" x14ac:dyDescent="0.45">
      <c r="A95" s="32">
        <v>13111367</v>
      </c>
      <c r="B95" s="32" t="s">
        <v>796</v>
      </c>
      <c r="C95" s="16" t="s">
        <v>0</v>
      </c>
      <c r="D95" s="2" t="s">
        <v>239</v>
      </c>
      <c r="E95" s="2" t="s">
        <v>555</v>
      </c>
      <c r="F95" s="2" t="s">
        <v>546</v>
      </c>
      <c r="G95" s="2" t="s">
        <v>547</v>
      </c>
      <c r="H95" s="2" t="s">
        <v>243</v>
      </c>
      <c r="I95" s="2" t="s">
        <v>556</v>
      </c>
      <c r="J95" s="3">
        <v>46538</v>
      </c>
      <c r="K95" s="3" t="s">
        <v>4</v>
      </c>
      <c r="L95" s="4">
        <v>55</v>
      </c>
      <c r="M95" s="43"/>
      <c r="N95" s="43"/>
      <c r="O95" s="17" t="s">
        <v>168</v>
      </c>
      <c r="P95" s="4" t="s">
        <v>237</v>
      </c>
    </row>
    <row r="96" spans="1:16" x14ac:dyDescent="0.45">
      <c r="A96" s="32">
        <v>13111367</v>
      </c>
      <c r="B96" s="32" t="s">
        <v>796</v>
      </c>
      <c r="C96" s="16" t="s">
        <v>0</v>
      </c>
      <c r="D96" s="2" t="s">
        <v>239</v>
      </c>
      <c r="E96" s="2" t="s">
        <v>557</v>
      </c>
      <c r="F96" s="2" t="s">
        <v>534</v>
      </c>
      <c r="G96" s="2" t="s">
        <v>535</v>
      </c>
      <c r="H96" s="2" t="s">
        <v>243</v>
      </c>
      <c r="I96" s="2" t="s">
        <v>558</v>
      </c>
      <c r="J96" s="3">
        <v>46660</v>
      </c>
      <c r="K96" s="3" t="s">
        <v>4</v>
      </c>
      <c r="L96" s="4">
        <v>44</v>
      </c>
      <c r="M96" s="43" t="s">
        <v>138</v>
      </c>
      <c r="N96" s="43">
        <v>5</v>
      </c>
      <c r="O96" s="17" t="s">
        <v>168</v>
      </c>
      <c r="P96" s="4" t="s">
        <v>237</v>
      </c>
    </row>
    <row r="97" spans="1:16" x14ac:dyDescent="0.45">
      <c r="A97" s="32">
        <v>13111367</v>
      </c>
      <c r="B97" s="32" t="s">
        <v>796</v>
      </c>
      <c r="C97" s="16" t="s">
        <v>0</v>
      </c>
      <c r="D97" s="2" t="s">
        <v>239</v>
      </c>
      <c r="E97" s="2" t="s">
        <v>559</v>
      </c>
      <c r="F97" s="2" t="s">
        <v>534</v>
      </c>
      <c r="G97" s="2" t="s">
        <v>535</v>
      </c>
      <c r="H97" s="2" t="s">
        <v>243</v>
      </c>
      <c r="I97" s="2" t="s">
        <v>560</v>
      </c>
      <c r="J97" s="3">
        <v>46769</v>
      </c>
      <c r="K97" s="3" t="s">
        <v>13</v>
      </c>
      <c r="L97" s="4">
        <v>73</v>
      </c>
      <c r="M97" s="43"/>
      <c r="N97" s="43"/>
      <c r="O97" s="17" t="s">
        <v>168</v>
      </c>
      <c r="P97" s="4" t="s">
        <v>237</v>
      </c>
    </row>
    <row r="98" spans="1:16" x14ac:dyDescent="0.45">
      <c r="A98" s="32">
        <v>13111367</v>
      </c>
      <c r="B98" s="32" t="s">
        <v>796</v>
      </c>
      <c r="C98" s="16" t="s">
        <v>0</v>
      </c>
      <c r="D98" s="2" t="s">
        <v>239</v>
      </c>
      <c r="E98" s="2" t="s">
        <v>561</v>
      </c>
      <c r="F98" s="2" t="s">
        <v>546</v>
      </c>
      <c r="G98" s="2" t="s">
        <v>547</v>
      </c>
      <c r="H98" s="2" t="s">
        <v>243</v>
      </c>
      <c r="I98" s="2" t="s">
        <v>562</v>
      </c>
      <c r="J98" s="3">
        <v>46538</v>
      </c>
      <c r="K98" s="3" t="s">
        <v>4</v>
      </c>
      <c r="L98" s="4">
        <v>65</v>
      </c>
      <c r="M98" s="43" t="s">
        <v>139</v>
      </c>
      <c r="N98" s="43">
        <v>6</v>
      </c>
      <c r="O98" s="17" t="s">
        <v>168</v>
      </c>
      <c r="P98" s="4" t="s">
        <v>237</v>
      </c>
    </row>
    <row r="99" spans="1:16" x14ac:dyDescent="0.45">
      <c r="A99" s="32">
        <v>13111367</v>
      </c>
      <c r="B99" s="32" t="s">
        <v>796</v>
      </c>
      <c r="C99" s="16" t="s">
        <v>0</v>
      </c>
      <c r="D99" s="2" t="s">
        <v>239</v>
      </c>
      <c r="E99" s="2" t="s">
        <v>563</v>
      </c>
      <c r="F99" s="2" t="s">
        <v>546</v>
      </c>
      <c r="G99" s="2" t="s">
        <v>547</v>
      </c>
      <c r="H99" s="2" t="s">
        <v>243</v>
      </c>
      <c r="I99" s="2" t="s">
        <v>564</v>
      </c>
      <c r="J99" s="3">
        <v>46784</v>
      </c>
      <c r="K99" s="3" t="s">
        <v>4</v>
      </c>
      <c r="L99" s="4">
        <v>36</v>
      </c>
      <c r="M99" s="43"/>
      <c r="N99" s="43"/>
      <c r="O99" s="17" t="s">
        <v>168</v>
      </c>
      <c r="P99" s="4" t="s">
        <v>237</v>
      </c>
    </row>
    <row r="100" spans="1:16" x14ac:dyDescent="0.45">
      <c r="A100" s="32">
        <v>13111367</v>
      </c>
      <c r="B100" s="32" t="s">
        <v>796</v>
      </c>
      <c r="C100" s="16" t="s">
        <v>0</v>
      </c>
      <c r="D100" s="2" t="s">
        <v>239</v>
      </c>
      <c r="E100" s="2" t="s">
        <v>565</v>
      </c>
      <c r="F100" s="2" t="s">
        <v>546</v>
      </c>
      <c r="G100" s="2" t="s">
        <v>547</v>
      </c>
      <c r="H100" s="2" t="s">
        <v>243</v>
      </c>
      <c r="I100" s="2" t="s">
        <v>566</v>
      </c>
      <c r="J100" s="3">
        <v>46568</v>
      </c>
      <c r="K100" s="3" t="s">
        <v>4</v>
      </c>
      <c r="L100" s="4">
        <v>52</v>
      </c>
      <c r="M100" s="43" t="s">
        <v>140</v>
      </c>
      <c r="N100" s="43">
        <v>7</v>
      </c>
      <c r="O100" s="17" t="s">
        <v>168</v>
      </c>
      <c r="P100" s="4" t="s">
        <v>237</v>
      </c>
    </row>
    <row r="101" spans="1:16" x14ac:dyDescent="0.45">
      <c r="A101" s="32">
        <v>13111367</v>
      </c>
      <c r="B101" s="32" t="s">
        <v>796</v>
      </c>
      <c r="C101" s="16" t="s">
        <v>0</v>
      </c>
      <c r="D101" s="2" t="s">
        <v>239</v>
      </c>
      <c r="E101" s="2" t="s">
        <v>567</v>
      </c>
      <c r="F101" s="2" t="s">
        <v>546</v>
      </c>
      <c r="G101" s="2" t="s">
        <v>547</v>
      </c>
      <c r="H101" s="2" t="s">
        <v>243</v>
      </c>
      <c r="I101" s="2" t="s">
        <v>568</v>
      </c>
      <c r="J101" s="3">
        <v>46745</v>
      </c>
      <c r="K101" s="3" t="s">
        <v>4</v>
      </c>
      <c r="L101" s="4">
        <v>47</v>
      </c>
      <c r="M101" s="43"/>
      <c r="N101" s="43"/>
      <c r="O101" s="17" t="s">
        <v>168</v>
      </c>
      <c r="P101" s="4" t="s">
        <v>237</v>
      </c>
    </row>
    <row r="102" spans="1:16" x14ac:dyDescent="0.45">
      <c r="A102" s="32">
        <v>13111367</v>
      </c>
      <c r="B102" s="32" t="s">
        <v>796</v>
      </c>
      <c r="C102" s="16" t="s">
        <v>0</v>
      </c>
      <c r="D102" s="2" t="s">
        <v>239</v>
      </c>
      <c r="E102" s="2" t="s">
        <v>569</v>
      </c>
      <c r="F102" s="2" t="s">
        <v>546</v>
      </c>
      <c r="G102" s="2" t="s">
        <v>547</v>
      </c>
      <c r="H102" s="2" t="s">
        <v>243</v>
      </c>
      <c r="I102" s="2" t="s">
        <v>570</v>
      </c>
      <c r="J102" s="3">
        <v>46749</v>
      </c>
      <c r="K102" s="3" t="s">
        <v>4</v>
      </c>
      <c r="L102" s="4">
        <v>43</v>
      </c>
      <c r="M102" s="43" t="s">
        <v>141</v>
      </c>
      <c r="N102" s="43">
        <v>8</v>
      </c>
      <c r="O102" s="17" t="s">
        <v>168</v>
      </c>
      <c r="P102" s="4" t="s">
        <v>237</v>
      </c>
    </row>
    <row r="103" spans="1:16" x14ac:dyDescent="0.45">
      <c r="A103" s="32">
        <v>13111367</v>
      </c>
      <c r="B103" s="32" t="s">
        <v>796</v>
      </c>
      <c r="C103" s="16" t="s">
        <v>0</v>
      </c>
      <c r="D103" s="2" t="s">
        <v>239</v>
      </c>
      <c r="E103" s="2" t="s">
        <v>571</v>
      </c>
      <c r="F103" s="2" t="s">
        <v>572</v>
      </c>
      <c r="G103" s="2" t="s">
        <v>573</v>
      </c>
      <c r="H103" s="2" t="s">
        <v>243</v>
      </c>
      <c r="I103" s="2" t="s">
        <v>574</v>
      </c>
      <c r="J103" s="3">
        <v>46721</v>
      </c>
      <c r="K103" s="3" t="s">
        <v>4</v>
      </c>
      <c r="L103" s="4">
        <v>62</v>
      </c>
      <c r="M103" s="43"/>
      <c r="N103" s="43"/>
      <c r="O103" s="17" t="s">
        <v>168</v>
      </c>
      <c r="P103" s="4" t="s">
        <v>237</v>
      </c>
    </row>
    <row r="104" spans="1:16" x14ac:dyDescent="0.45">
      <c r="A104" s="32">
        <v>13111367</v>
      </c>
      <c r="B104" s="32" t="s">
        <v>796</v>
      </c>
      <c r="C104" s="16" t="s">
        <v>0</v>
      </c>
      <c r="D104" s="2" t="s">
        <v>239</v>
      </c>
      <c r="E104" s="2" t="s">
        <v>575</v>
      </c>
      <c r="F104" s="2" t="s">
        <v>576</v>
      </c>
      <c r="G104" s="2" t="s">
        <v>577</v>
      </c>
      <c r="H104" s="2" t="s">
        <v>243</v>
      </c>
      <c r="I104" s="2" t="s">
        <v>578</v>
      </c>
      <c r="J104" s="3">
        <v>46356</v>
      </c>
      <c r="K104" s="3" t="s">
        <v>4</v>
      </c>
      <c r="L104" s="4">
        <v>35</v>
      </c>
      <c r="M104" s="43" t="s">
        <v>142</v>
      </c>
      <c r="N104" s="43">
        <v>9</v>
      </c>
      <c r="O104" s="17" t="s">
        <v>168</v>
      </c>
      <c r="P104" s="4" t="s">
        <v>237</v>
      </c>
    </row>
    <row r="105" spans="1:16" x14ac:dyDescent="0.45">
      <c r="A105" s="32">
        <v>13111367</v>
      </c>
      <c r="B105" s="32" t="s">
        <v>796</v>
      </c>
      <c r="C105" s="16" t="s">
        <v>0</v>
      </c>
      <c r="D105" s="2" t="s">
        <v>239</v>
      </c>
      <c r="E105" s="2" t="s">
        <v>579</v>
      </c>
      <c r="F105" s="2" t="s">
        <v>572</v>
      </c>
      <c r="G105" s="2" t="s">
        <v>573</v>
      </c>
      <c r="H105" s="2" t="s">
        <v>243</v>
      </c>
      <c r="I105" s="2" t="s">
        <v>580</v>
      </c>
      <c r="J105" s="3">
        <v>46544</v>
      </c>
      <c r="K105" s="3" t="s">
        <v>13</v>
      </c>
      <c r="L105" s="4">
        <v>63</v>
      </c>
      <c r="M105" s="43"/>
      <c r="N105" s="43"/>
      <c r="O105" s="17" t="s">
        <v>168</v>
      </c>
      <c r="P105" s="4" t="s">
        <v>237</v>
      </c>
    </row>
    <row r="106" spans="1:16" x14ac:dyDescent="0.45">
      <c r="A106" s="32">
        <v>13111367</v>
      </c>
      <c r="B106" s="32" t="s">
        <v>796</v>
      </c>
      <c r="C106" s="16" t="s">
        <v>0</v>
      </c>
      <c r="D106" s="2" t="s">
        <v>239</v>
      </c>
      <c r="E106" s="2" t="s">
        <v>581</v>
      </c>
      <c r="F106" s="2" t="s">
        <v>582</v>
      </c>
      <c r="G106" s="2" t="s">
        <v>583</v>
      </c>
      <c r="H106" s="2" t="s">
        <v>243</v>
      </c>
      <c r="I106" s="2" t="s">
        <v>584</v>
      </c>
      <c r="J106" s="3">
        <v>46265</v>
      </c>
      <c r="K106" s="3" t="s">
        <v>4</v>
      </c>
      <c r="L106" s="4">
        <v>54</v>
      </c>
      <c r="M106" s="43" t="s">
        <v>143</v>
      </c>
      <c r="N106" s="43">
        <v>10</v>
      </c>
      <c r="O106" s="17" t="s">
        <v>168</v>
      </c>
      <c r="P106" s="4" t="s">
        <v>237</v>
      </c>
    </row>
    <row r="107" spans="1:16" x14ac:dyDescent="0.45">
      <c r="A107" s="32">
        <v>13111367</v>
      </c>
      <c r="B107" s="32" t="s">
        <v>796</v>
      </c>
      <c r="C107" s="16" t="s">
        <v>0</v>
      </c>
      <c r="D107" s="2" t="s">
        <v>239</v>
      </c>
      <c r="E107" s="2" t="s">
        <v>585</v>
      </c>
      <c r="F107" s="2" t="s">
        <v>586</v>
      </c>
      <c r="G107" s="2" t="s">
        <v>587</v>
      </c>
      <c r="H107" s="2" t="s">
        <v>243</v>
      </c>
      <c r="I107" s="2" t="s">
        <v>588</v>
      </c>
      <c r="J107" s="3">
        <v>46395</v>
      </c>
      <c r="K107" s="3" t="s">
        <v>4</v>
      </c>
      <c r="L107" s="4">
        <v>23</v>
      </c>
      <c r="M107" s="43"/>
      <c r="N107" s="43"/>
      <c r="O107" s="17" t="s">
        <v>168</v>
      </c>
      <c r="P107" s="4" t="s">
        <v>237</v>
      </c>
    </row>
    <row r="108" spans="1:16" x14ac:dyDescent="0.45">
      <c r="A108" s="32">
        <v>13111367</v>
      </c>
      <c r="B108" s="32" t="s">
        <v>796</v>
      </c>
      <c r="C108" s="16" t="s">
        <v>0</v>
      </c>
      <c r="D108" s="2" t="s">
        <v>239</v>
      </c>
      <c r="E108" s="2" t="s">
        <v>589</v>
      </c>
      <c r="F108" s="2" t="s">
        <v>572</v>
      </c>
      <c r="G108" s="2" t="s">
        <v>573</v>
      </c>
      <c r="H108" s="2" t="s">
        <v>243</v>
      </c>
      <c r="I108" s="2" t="s">
        <v>590</v>
      </c>
      <c r="J108" s="3">
        <v>46779</v>
      </c>
      <c r="K108" s="3" t="s">
        <v>4</v>
      </c>
      <c r="L108" s="4">
        <v>33</v>
      </c>
      <c r="M108" s="43" t="s">
        <v>144</v>
      </c>
      <c r="N108" s="43">
        <v>11</v>
      </c>
      <c r="O108" s="17" t="s">
        <v>168</v>
      </c>
      <c r="P108" s="4" t="s">
        <v>237</v>
      </c>
    </row>
    <row r="109" spans="1:16" x14ac:dyDescent="0.45">
      <c r="A109" s="32">
        <v>13111367</v>
      </c>
      <c r="B109" s="32" t="s">
        <v>796</v>
      </c>
      <c r="C109" s="16" t="s">
        <v>0</v>
      </c>
      <c r="D109" s="2" t="s">
        <v>239</v>
      </c>
      <c r="E109" s="2" t="s">
        <v>591</v>
      </c>
      <c r="F109" s="2" t="s">
        <v>592</v>
      </c>
      <c r="G109" s="2" t="s">
        <v>593</v>
      </c>
      <c r="H109" s="2" t="s">
        <v>243</v>
      </c>
      <c r="I109" s="2" t="s">
        <v>594</v>
      </c>
      <c r="J109" s="3">
        <v>46599</v>
      </c>
      <c r="K109" s="3" t="s">
        <v>4</v>
      </c>
      <c r="L109" s="4">
        <v>65</v>
      </c>
      <c r="M109" s="43"/>
      <c r="N109" s="43"/>
      <c r="O109" s="17" t="s">
        <v>168</v>
      </c>
      <c r="P109" s="4" t="s">
        <v>237</v>
      </c>
    </row>
    <row r="110" spans="1:16" x14ac:dyDescent="0.45">
      <c r="A110" s="32">
        <v>13111367</v>
      </c>
      <c r="B110" s="32" t="s">
        <v>796</v>
      </c>
      <c r="C110" s="16" t="s">
        <v>0</v>
      </c>
      <c r="D110" s="2" t="s">
        <v>239</v>
      </c>
      <c r="E110" s="2" t="s">
        <v>595</v>
      </c>
      <c r="F110" s="2" t="s">
        <v>596</v>
      </c>
      <c r="G110" s="2" t="s">
        <v>597</v>
      </c>
      <c r="H110" s="2" t="s">
        <v>243</v>
      </c>
      <c r="I110" s="2" t="s">
        <v>598</v>
      </c>
      <c r="J110" s="3">
        <v>46753</v>
      </c>
      <c r="K110" s="3" t="s">
        <v>4</v>
      </c>
      <c r="L110" s="4">
        <v>54</v>
      </c>
      <c r="M110" s="43" t="s">
        <v>145</v>
      </c>
      <c r="N110" s="43">
        <v>12</v>
      </c>
      <c r="O110" s="17" t="s">
        <v>168</v>
      </c>
      <c r="P110" s="4" t="s">
        <v>237</v>
      </c>
    </row>
    <row r="111" spans="1:16" x14ac:dyDescent="0.45">
      <c r="A111" s="32">
        <v>13111367</v>
      </c>
      <c r="B111" s="32" t="s">
        <v>796</v>
      </c>
      <c r="C111" s="16" t="s">
        <v>0</v>
      </c>
      <c r="D111" s="2" t="s">
        <v>239</v>
      </c>
      <c r="E111" s="2" t="s">
        <v>599</v>
      </c>
      <c r="F111" s="2" t="s">
        <v>586</v>
      </c>
      <c r="G111" s="2" t="s">
        <v>587</v>
      </c>
      <c r="H111" s="2" t="s">
        <v>243</v>
      </c>
      <c r="I111" s="2" t="s">
        <v>600</v>
      </c>
      <c r="J111" s="3">
        <v>46507</v>
      </c>
      <c r="K111" s="3" t="s">
        <v>4</v>
      </c>
      <c r="L111" s="4">
        <v>22</v>
      </c>
      <c r="M111" s="43"/>
      <c r="N111" s="43"/>
      <c r="O111" s="17" t="s">
        <v>168</v>
      </c>
      <c r="P111" s="4" t="s">
        <v>237</v>
      </c>
    </row>
    <row r="112" spans="1:16" x14ac:dyDescent="0.45">
      <c r="A112" s="32">
        <v>13111367</v>
      </c>
      <c r="B112" s="32" t="s">
        <v>796</v>
      </c>
      <c r="C112" s="16" t="s">
        <v>0</v>
      </c>
      <c r="D112" s="2" t="s">
        <v>239</v>
      </c>
      <c r="E112" s="2" t="s">
        <v>601</v>
      </c>
      <c r="F112" s="2" t="s">
        <v>586</v>
      </c>
      <c r="G112" s="2" t="s">
        <v>587</v>
      </c>
      <c r="H112" s="2" t="s">
        <v>243</v>
      </c>
      <c r="I112" s="2" t="s">
        <v>602</v>
      </c>
      <c r="J112" s="3">
        <v>46691</v>
      </c>
      <c r="K112" s="3" t="s">
        <v>4</v>
      </c>
      <c r="L112" s="4">
        <v>30</v>
      </c>
      <c r="M112" s="43"/>
      <c r="N112" s="43"/>
      <c r="O112" s="17" t="s">
        <v>168</v>
      </c>
      <c r="P112" s="4" t="s">
        <v>237</v>
      </c>
    </row>
    <row r="113" spans="1:16" x14ac:dyDescent="0.45">
      <c r="A113" s="32">
        <v>13111367</v>
      </c>
      <c r="B113" s="32" t="s">
        <v>796</v>
      </c>
      <c r="C113" s="16" t="s">
        <v>0</v>
      </c>
      <c r="D113" s="2" t="s">
        <v>239</v>
      </c>
      <c r="E113" s="2" t="s">
        <v>603</v>
      </c>
      <c r="F113" s="2" t="s">
        <v>586</v>
      </c>
      <c r="G113" s="2" t="s">
        <v>587</v>
      </c>
      <c r="H113" s="2" t="s">
        <v>243</v>
      </c>
      <c r="I113" s="2" t="s">
        <v>604</v>
      </c>
      <c r="J113" s="3">
        <v>46771</v>
      </c>
      <c r="K113" s="3" t="s">
        <v>4</v>
      </c>
      <c r="L113" s="4">
        <v>21</v>
      </c>
      <c r="M113" s="43" t="s">
        <v>146</v>
      </c>
      <c r="N113" s="43">
        <v>13</v>
      </c>
      <c r="O113" s="17" t="s">
        <v>168</v>
      </c>
      <c r="P113" s="4" t="s">
        <v>237</v>
      </c>
    </row>
    <row r="114" spans="1:16" x14ac:dyDescent="0.45">
      <c r="A114" s="32">
        <v>13111367</v>
      </c>
      <c r="B114" s="32" t="s">
        <v>796</v>
      </c>
      <c r="C114" s="16" t="s">
        <v>0</v>
      </c>
      <c r="D114" s="2" t="s">
        <v>239</v>
      </c>
      <c r="E114" s="2" t="s">
        <v>605</v>
      </c>
      <c r="F114" s="2" t="s">
        <v>586</v>
      </c>
      <c r="G114" s="2" t="s">
        <v>587</v>
      </c>
      <c r="H114" s="2" t="s">
        <v>243</v>
      </c>
      <c r="I114" s="2" t="s">
        <v>606</v>
      </c>
      <c r="J114" s="3">
        <v>46403</v>
      </c>
      <c r="K114" s="3" t="s">
        <v>13</v>
      </c>
      <c r="L114" s="4">
        <v>21</v>
      </c>
      <c r="M114" s="43"/>
      <c r="N114" s="43"/>
      <c r="O114" s="17" t="s">
        <v>168</v>
      </c>
      <c r="P114" s="4" t="s">
        <v>237</v>
      </c>
    </row>
    <row r="115" spans="1:16" x14ac:dyDescent="0.45">
      <c r="A115" s="32">
        <v>13111367</v>
      </c>
      <c r="B115" s="32" t="s">
        <v>796</v>
      </c>
      <c r="C115" s="16" t="s">
        <v>0</v>
      </c>
      <c r="D115" s="2" t="s">
        <v>239</v>
      </c>
      <c r="E115" s="2" t="s">
        <v>607</v>
      </c>
      <c r="F115" s="2" t="s">
        <v>586</v>
      </c>
      <c r="G115" s="2" t="s">
        <v>587</v>
      </c>
      <c r="H115" s="2" t="s">
        <v>243</v>
      </c>
      <c r="I115" s="2" t="s">
        <v>608</v>
      </c>
      <c r="J115" s="3">
        <v>46454</v>
      </c>
      <c r="K115" s="3" t="s">
        <v>13</v>
      </c>
      <c r="L115" s="4">
        <v>30</v>
      </c>
      <c r="M115" s="43"/>
      <c r="N115" s="43"/>
      <c r="O115" s="17" t="s">
        <v>168</v>
      </c>
      <c r="P115" s="4" t="s">
        <v>237</v>
      </c>
    </row>
    <row r="116" spans="1:16" x14ac:dyDescent="0.45">
      <c r="A116" s="32">
        <v>13111367</v>
      </c>
      <c r="B116" s="32" t="s">
        <v>796</v>
      </c>
      <c r="C116" s="16" t="s">
        <v>0</v>
      </c>
      <c r="D116" s="2" t="s">
        <v>239</v>
      </c>
      <c r="E116" s="2" t="s">
        <v>609</v>
      </c>
      <c r="F116" s="2" t="s">
        <v>586</v>
      </c>
      <c r="G116" s="2" t="s">
        <v>587</v>
      </c>
      <c r="H116" s="2" t="s">
        <v>243</v>
      </c>
      <c r="I116" s="2" t="s">
        <v>610</v>
      </c>
      <c r="J116" s="3">
        <v>46457</v>
      </c>
      <c r="K116" s="3" t="s">
        <v>13</v>
      </c>
      <c r="L116" s="4">
        <v>23</v>
      </c>
      <c r="M116" s="43"/>
      <c r="N116" s="43"/>
      <c r="O116" s="17" t="s">
        <v>168</v>
      </c>
      <c r="P116" s="4" t="s">
        <v>237</v>
      </c>
    </row>
    <row r="117" spans="1:16" x14ac:dyDescent="0.45">
      <c r="A117" s="32">
        <v>13111367</v>
      </c>
      <c r="B117" s="32" t="s">
        <v>796</v>
      </c>
      <c r="C117" s="16" t="s">
        <v>0</v>
      </c>
      <c r="D117" s="2" t="s">
        <v>239</v>
      </c>
      <c r="E117" s="2" t="s">
        <v>611</v>
      </c>
      <c r="F117" s="2" t="s">
        <v>586</v>
      </c>
      <c r="G117" s="2" t="s">
        <v>587</v>
      </c>
      <c r="H117" s="2" t="s">
        <v>243</v>
      </c>
      <c r="I117" s="2" t="s">
        <v>612</v>
      </c>
      <c r="J117" s="3">
        <v>46523</v>
      </c>
      <c r="K117" s="3" t="s">
        <v>13</v>
      </c>
      <c r="L117" s="4">
        <v>60</v>
      </c>
      <c r="M117" s="43" t="s">
        <v>147</v>
      </c>
      <c r="N117" s="43">
        <v>14</v>
      </c>
      <c r="O117" s="17" t="s">
        <v>168</v>
      </c>
      <c r="P117" s="4" t="s">
        <v>237</v>
      </c>
    </row>
    <row r="118" spans="1:16" x14ac:dyDescent="0.45">
      <c r="A118" s="32">
        <v>13111367</v>
      </c>
      <c r="B118" s="32" t="s">
        <v>796</v>
      </c>
      <c r="C118" s="16" t="s">
        <v>0</v>
      </c>
      <c r="D118" s="2" t="s">
        <v>239</v>
      </c>
      <c r="E118" s="2" t="s">
        <v>613</v>
      </c>
      <c r="F118" s="2" t="s">
        <v>614</v>
      </c>
      <c r="G118" s="2" t="s">
        <v>615</v>
      </c>
      <c r="H118" s="2" t="s">
        <v>243</v>
      </c>
      <c r="I118" s="2" t="s">
        <v>616</v>
      </c>
      <c r="J118" s="3">
        <v>46568</v>
      </c>
      <c r="K118" s="3" t="s">
        <v>4</v>
      </c>
      <c r="L118" s="4">
        <v>60</v>
      </c>
      <c r="M118" s="43"/>
      <c r="N118" s="43"/>
      <c r="O118" s="17" t="s">
        <v>168</v>
      </c>
      <c r="P118" s="4" t="s">
        <v>237</v>
      </c>
    </row>
    <row r="119" spans="1:16" x14ac:dyDescent="0.45">
      <c r="A119" s="32">
        <v>13111367</v>
      </c>
      <c r="B119" s="32" t="s">
        <v>796</v>
      </c>
      <c r="C119" s="16" t="s">
        <v>0</v>
      </c>
      <c r="D119" s="2" t="s">
        <v>239</v>
      </c>
      <c r="E119" s="2" t="s">
        <v>617</v>
      </c>
      <c r="F119" s="2" t="s">
        <v>614</v>
      </c>
      <c r="G119" s="2" t="s">
        <v>615</v>
      </c>
      <c r="H119" s="2" t="s">
        <v>243</v>
      </c>
      <c r="I119" s="2" t="s">
        <v>618</v>
      </c>
      <c r="J119" s="3">
        <v>46592</v>
      </c>
      <c r="K119" s="3" t="s">
        <v>13</v>
      </c>
      <c r="L119" s="4">
        <v>56</v>
      </c>
      <c r="M119" s="43" t="s">
        <v>148</v>
      </c>
      <c r="N119" s="43">
        <v>15</v>
      </c>
      <c r="O119" s="17" t="s">
        <v>168</v>
      </c>
      <c r="P119" s="4" t="s">
        <v>237</v>
      </c>
    </row>
    <row r="120" spans="1:16" x14ac:dyDescent="0.45">
      <c r="A120" s="32">
        <v>13111367</v>
      </c>
      <c r="B120" s="32" t="s">
        <v>796</v>
      </c>
      <c r="C120" s="16" t="s">
        <v>0</v>
      </c>
      <c r="D120" s="2" t="s">
        <v>239</v>
      </c>
      <c r="E120" s="2" t="s">
        <v>619</v>
      </c>
      <c r="F120" s="2" t="s">
        <v>592</v>
      </c>
      <c r="G120" s="2" t="s">
        <v>593</v>
      </c>
      <c r="H120" s="2" t="s">
        <v>243</v>
      </c>
      <c r="I120" s="2" t="s">
        <v>620</v>
      </c>
      <c r="J120" s="3">
        <v>46477</v>
      </c>
      <c r="K120" s="3" t="s">
        <v>4</v>
      </c>
      <c r="L120" s="4">
        <v>52</v>
      </c>
      <c r="M120" s="43"/>
      <c r="N120" s="43"/>
      <c r="O120" s="17" t="s">
        <v>168</v>
      </c>
      <c r="P120" s="4" t="s">
        <v>237</v>
      </c>
    </row>
    <row r="121" spans="1:16" x14ac:dyDescent="0.45">
      <c r="A121" s="32">
        <v>13111367</v>
      </c>
      <c r="B121" s="32" t="s">
        <v>796</v>
      </c>
      <c r="C121" s="16" t="s">
        <v>0</v>
      </c>
      <c r="D121" s="2" t="s">
        <v>239</v>
      </c>
      <c r="E121" s="2" t="s">
        <v>621</v>
      </c>
      <c r="F121" s="2" t="s">
        <v>592</v>
      </c>
      <c r="G121" s="2" t="s">
        <v>593</v>
      </c>
      <c r="H121" s="2" t="s">
        <v>243</v>
      </c>
      <c r="I121" s="2" t="s">
        <v>622</v>
      </c>
      <c r="J121" s="3">
        <v>46599</v>
      </c>
      <c r="K121" s="3" t="s">
        <v>4</v>
      </c>
      <c r="L121" s="4">
        <v>61</v>
      </c>
      <c r="M121" s="43" t="s">
        <v>149</v>
      </c>
      <c r="N121" s="43">
        <v>16</v>
      </c>
      <c r="O121" s="17" t="s">
        <v>168</v>
      </c>
      <c r="P121" s="4" t="s">
        <v>237</v>
      </c>
    </row>
    <row r="122" spans="1:16" x14ac:dyDescent="0.45">
      <c r="A122" s="32">
        <v>13111367</v>
      </c>
      <c r="B122" s="32" t="s">
        <v>796</v>
      </c>
      <c r="C122" s="16" t="s">
        <v>0</v>
      </c>
      <c r="D122" s="2" t="s">
        <v>239</v>
      </c>
      <c r="E122" s="2" t="s">
        <v>623</v>
      </c>
      <c r="F122" s="2" t="s">
        <v>592</v>
      </c>
      <c r="G122" s="2" t="s">
        <v>593</v>
      </c>
      <c r="H122" s="2" t="s">
        <v>243</v>
      </c>
      <c r="I122" s="2" t="s">
        <v>624</v>
      </c>
      <c r="J122" s="3">
        <v>46732</v>
      </c>
      <c r="K122" s="3" t="s">
        <v>4</v>
      </c>
      <c r="L122" s="4">
        <v>45</v>
      </c>
      <c r="M122" s="43"/>
      <c r="N122" s="43"/>
      <c r="O122" s="17" t="s">
        <v>168</v>
      </c>
      <c r="P122" s="4" t="s">
        <v>237</v>
      </c>
    </row>
    <row r="123" spans="1:16" x14ac:dyDescent="0.45">
      <c r="A123" s="32">
        <v>13111367</v>
      </c>
      <c r="B123" s="32" t="s">
        <v>796</v>
      </c>
      <c r="C123" s="16" t="s">
        <v>0</v>
      </c>
      <c r="D123" s="2" t="s">
        <v>239</v>
      </c>
      <c r="E123" s="2" t="s">
        <v>625</v>
      </c>
      <c r="F123" s="2" t="s">
        <v>614</v>
      </c>
      <c r="G123" s="2" t="s">
        <v>615</v>
      </c>
      <c r="H123" s="2" t="s">
        <v>243</v>
      </c>
      <c r="I123" s="2" t="s">
        <v>626</v>
      </c>
      <c r="J123" s="3">
        <v>46591</v>
      </c>
      <c r="K123" s="3" t="s">
        <v>13</v>
      </c>
      <c r="L123" s="4">
        <v>18</v>
      </c>
      <c r="M123" s="43" t="s">
        <v>150</v>
      </c>
      <c r="N123" s="43">
        <v>17</v>
      </c>
      <c r="O123" s="17" t="s">
        <v>168</v>
      </c>
      <c r="P123" s="4" t="s">
        <v>237</v>
      </c>
    </row>
    <row r="124" spans="1:16" x14ac:dyDescent="0.45">
      <c r="A124" s="32">
        <v>13111367</v>
      </c>
      <c r="B124" s="32" t="s">
        <v>796</v>
      </c>
      <c r="C124" s="16" t="s">
        <v>0</v>
      </c>
      <c r="D124" s="2" t="s">
        <v>239</v>
      </c>
      <c r="E124" s="2" t="s">
        <v>627</v>
      </c>
      <c r="F124" s="2" t="s">
        <v>628</v>
      </c>
      <c r="G124" s="2" t="s">
        <v>629</v>
      </c>
      <c r="H124" s="2" t="s">
        <v>243</v>
      </c>
      <c r="I124" s="2" t="s">
        <v>630</v>
      </c>
      <c r="J124" s="3">
        <v>46538</v>
      </c>
      <c r="K124" s="3" t="s">
        <v>4</v>
      </c>
      <c r="L124" s="4">
        <v>55</v>
      </c>
      <c r="M124" s="43"/>
      <c r="N124" s="43"/>
      <c r="O124" s="17" t="s">
        <v>168</v>
      </c>
      <c r="P124" s="4" t="s">
        <v>237</v>
      </c>
    </row>
    <row r="125" spans="1:16" x14ac:dyDescent="0.45">
      <c r="A125" s="32">
        <v>13111367</v>
      </c>
      <c r="B125" s="32" t="s">
        <v>796</v>
      </c>
      <c r="C125" s="16" t="s">
        <v>0</v>
      </c>
      <c r="D125" s="2" t="s">
        <v>239</v>
      </c>
      <c r="E125" s="2" t="s">
        <v>631</v>
      </c>
      <c r="F125" s="2" t="s">
        <v>632</v>
      </c>
      <c r="G125" s="2" t="s">
        <v>633</v>
      </c>
      <c r="H125" s="2" t="s">
        <v>243</v>
      </c>
      <c r="I125" s="2" t="s">
        <v>634</v>
      </c>
      <c r="J125" s="3">
        <v>46432</v>
      </c>
      <c r="K125" s="3" t="s">
        <v>13</v>
      </c>
      <c r="L125" s="4">
        <v>16</v>
      </c>
      <c r="M125" s="43"/>
      <c r="N125" s="43"/>
      <c r="O125" s="17" t="s">
        <v>168</v>
      </c>
      <c r="P125" s="4" t="s">
        <v>237</v>
      </c>
    </row>
    <row r="126" spans="1:16" x14ac:dyDescent="0.45">
      <c r="A126" s="32">
        <v>13111367</v>
      </c>
      <c r="B126" s="32" t="s">
        <v>796</v>
      </c>
      <c r="C126" s="16" t="s">
        <v>0</v>
      </c>
      <c r="D126" s="2" t="s">
        <v>239</v>
      </c>
      <c r="E126" s="2" t="s">
        <v>635</v>
      </c>
      <c r="F126" s="2" t="s">
        <v>628</v>
      </c>
      <c r="G126" s="2" t="s">
        <v>629</v>
      </c>
      <c r="H126" s="2" t="s">
        <v>243</v>
      </c>
      <c r="I126" s="2" t="s">
        <v>636</v>
      </c>
      <c r="J126" s="3">
        <v>46446</v>
      </c>
      <c r="K126" s="3" t="s">
        <v>4</v>
      </c>
      <c r="L126" s="4">
        <v>64</v>
      </c>
      <c r="M126" s="43" t="s">
        <v>151</v>
      </c>
      <c r="N126" s="43">
        <v>18</v>
      </c>
      <c r="O126" s="17" t="s">
        <v>168</v>
      </c>
      <c r="P126" s="4" t="s">
        <v>237</v>
      </c>
    </row>
    <row r="127" spans="1:16" x14ac:dyDescent="0.45">
      <c r="A127" s="32">
        <v>13111367</v>
      </c>
      <c r="B127" s="32" t="s">
        <v>796</v>
      </c>
      <c r="C127" s="16" t="s">
        <v>0</v>
      </c>
      <c r="D127" s="2" t="s">
        <v>239</v>
      </c>
      <c r="E127" s="2" t="s">
        <v>637</v>
      </c>
      <c r="F127" s="2" t="s">
        <v>628</v>
      </c>
      <c r="G127" s="2" t="s">
        <v>629</v>
      </c>
      <c r="H127" s="2" t="s">
        <v>243</v>
      </c>
      <c r="I127" s="2" t="s">
        <v>638</v>
      </c>
      <c r="J127" s="3">
        <v>46599</v>
      </c>
      <c r="K127" s="3" t="s">
        <v>4</v>
      </c>
      <c r="L127" s="4">
        <v>41</v>
      </c>
      <c r="M127" s="43"/>
      <c r="N127" s="43"/>
      <c r="O127" s="17" t="s">
        <v>168</v>
      </c>
      <c r="P127" s="4" t="s">
        <v>237</v>
      </c>
    </row>
    <row r="128" spans="1:16" x14ac:dyDescent="0.45">
      <c r="A128" s="32">
        <v>13111367</v>
      </c>
      <c r="B128" s="32" t="s">
        <v>796</v>
      </c>
      <c r="C128" s="16" t="s">
        <v>0</v>
      </c>
      <c r="D128" s="2" t="s">
        <v>239</v>
      </c>
      <c r="E128" s="2" t="s">
        <v>639</v>
      </c>
      <c r="F128" s="2" t="s">
        <v>628</v>
      </c>
      <c r="G128" s="2" t="s">
        <v>629</v>
      </c>
      <c r="H128" s="2" t="s">
        <v>243</v>
      </c>
      <c r="I128" s="2" t="s">
        <v>640</v>
      </c>
      <c r="J128" s="3">
        <v>46568</v>
      </c>
      <c r="K128" s="3" t="s">
        <v>4</v>
      </c>
      <c r="L128" s="4">
        <v>63</v>
      </c>
      <c r="M128" s="43" t="s">
        <v>152</v>
      </c>
      <c r="N128" s="43">
        <v>19</v>
      </c>
      <c r="O128" s="17" t="s">
        <v>168</v>
      </c>
      <c r="P128" s="4" t="s">
        <v>237</v>
      </c>
    </row>
    <row r="129" spans="1:16" x14ac:dyDescent="0.45">
      <c r="A129" s="32">
        <v>13111367</v>
      </c>
      <c r="B129" s="32" t="s">
        <v>796</v>
      </c>
      <c r="C129" s="16" t="s">
        <v>0</v>
      </c>
      <c r="D129" s="2" t="s">
        <v>239</v>
      </c>
      <c r="E129" s="2" t="s">
        <v>641</v>
      </c>
      <c r="F129" s="2" t="s">
        <v>632</v>
      </c>
      <c r="G129" s="2" t="s">
        <v>633</v>
      </c>
      <c r="H129" s="2" t="s">
        <v>243</v>
      </c>
      <c r="I129" s="2" t="s">
        <v>642</v>
      </c>
      <c r="J129" s="3">
        <v>46568</v>
      </c>
      <c r="K129" s="3" t="s">
        <v>13</v>
      </c>
      <c r="L129" s="4">
        <v>45</v>
      </c>
      <c r="M129" s="43"/>
      <c r="N129" s="43"/>
      <c r="O129" s="17" t="s">
        <v>168</v>
      </c>
      <c r="P129" s="4" t="s">
        <v>237</v>
      </c>
    </row>
    <row r="130" spans="1:16" x14ac:dyDescent="0.45">
      <c r="A130" s="32">
        <v>13111367</v>
      </c>
      <c r="B130" s="32" t="s">
        <v>796</v>
      </c>
      <c r="C130" s="16" t="s">
        <v>0</v>
      </c>
      <c r="D130" s="2" t="s">
        <v>239</v>
      </c>
      <c r="E130" s="2" t="s">
        <v>643</v>
      </c>
      <c r="F130" s="2" t="s">
        <v>632</v>
      </c>
      <c r="G130" s="2" t="s">
        <v>633</v>
      </c>
      <c r="H130" s="2" t="s">
        <v>243</v>
      </c>
      <c r="I130" s="2" t="s">
        <v>644</v>
      </c>
      <c r="J130" s="3">
        <v>46737</v>
      </c>
      <c r="K130" s="3" t="s">
        <v>4</v>
      </c>
      <c r="L130" s="4">
        <v>55</v>
      </c>
      <c r="M130" s="43" t="s">
        <v>153</v>
      </c>
      <c r="N130" s="43">
        <v>20</v>
      </c>
      <c r="O130" s="17" t="s">
        <v>168</v>
      </c>
      <c r="P130" s="4" t="s">
        <v>237</v>
      </c>
    </row>
    <row r="131" spans="1:16" x14ac:dyDescent="0.45">
      <c r="A131" s="32">
        <v>13111367</v>
      </c>
      <c r="B131" s="32" t="s">
        <v>796</v>
      </c>
      <c r="C131" s="16" t="s">
        <v>0</v>
      </c>
      <c r="D131" s="2" t="s">
        <v>239</v>
      </c>
      <c r="E131" s="2" t="s">
        <v>645</v>
      </c>
      <c r="F131" s="2" t="s">
        <v>632</v>
      </c>
      <c r="G131" s="2" t="s">
        <v>633</v>
      </c>
      <c r="H131" s="2" t="s">
        <v>243</v>
      </c>
      <c r="I131" s="2" t="s">
        <v>646</v>
      </c>
      <c r="J131" s="3">
        <v>46570</v>
      </c>
      <c r="K131" s="3" t="s">
        <v>13</v>
      </c>
      <c r="L131" s="4">
        <v>24</v>
      </c>
      <c r="M131" s="43"/>
      <c r="N131" s="43"/>
      <c r="O131" s="17" t="s">
        <v>168</v>
      </c>
      <c r="P131" s="4" t="s">
        <v>237</v>
      </c>
    </row>
    <row r="132" spans="1:16" x14ac:dyDescent="0.45">
      <c r="A132" s="32">
        <v>13111367</v>
      </c>
      <c r="B132" s="32" t="s">
        <v>796</v>
      </c>
      <c r="C132" s="16" t="s">
        <v>0</v>
      </c>
      <c r="D132" s="2" t="s">
        <v>239</v>
      </c>
      <c r="E132" s="2" t="s">
        <v>647</v>
      </c>
      <c r="F132" s="2" t="s">
        <v>648</v>
      </c>
      <c r="G132" s="2" t="s">
        <v>649</v>
      </c>
      <c r="H132" s="2" t="s">
        <v>243</v>
      </c>
      <c r="I132" s="2" t="s">
        <v>650</v>
      </c>
      <c r="J132" s="3">
        <v>46568</v>
      </c>
      <c r="K132" s="3" t="s">
        <v>4</v>
      </c>
      <c r="L132" s="4">
        <v>30</v>
      </c>
      <c r="M132" s="43"/>
      <c r="N132" s="43"/>
      <c r="O132" s="17" t="s">
        <v>168</v>
      </c>
      <c r="P132" s="4" t="s">
        <v>237</v>
      </c>
    </row>
    <row r="133" spans="1:16" x14ac:dyDescent="0.45">
      <c r="A133" s="32">
        <v>13111367</v>
      </c>
      <c r="B133" s="32" t="s">
        <v>796</v>
      </c>
      <c r="C133" s="16" t="s">
        <v>0</v>
      </c>
      <c r="D133" s="2" t="s">
        <v>239</v>
      </c>
      <c r="E133" s="2" t="s">
        <v>651</v>
      </c>
      <c r="F133" s="2" t="s">
        <v>632</v>
      </c>
      <c r="G133" s="2" t="s">
        <v>633</v>
      </c>
      <c r="H133" s="2" t="s">
        <v>243</v>
      </c>
      <c r="I133" s="2" t="s">
        <v>283</v>
      </c>
      <c r="J133" s="3">
        <v>46664</v>
      </c>
      <c r="K133" s="3" t="s">
        <v>13</v>
      </c>
      <c r="L133" s="4">
        <v>39</v>
      </c>
      <c r="M133" s="43" t="s">
        <v>154</v>
      </c>
      <c r="N133" s="43">
        <v>21</v>
      </c>
      <c r="O133" s="17" t="s">
        <v>168</v>
      </c>
      <c r="P133" s="4" t="s">
        <v>237</v>
      </c>
    </row>
    <row r="134" spans="1:16" x14ac:dyDescent="0.45">
      <c r="A134" s="32">
        <v>13111367</v>
      </c>
      <c r="B134" s="32" t="s">
        <v>796</v>
      </c>
      <c r="C134" s="16" t="s">
        <v>0</v>
      </c>
      <c r="D134" s="2" t="s">
        <v>239</v>
      </c>
      <c r="E134" s="2" t="s">
        <v>652</v>
      </c>
      <c r="F134" s="2" t="s">
        <v>251</v>
      </c>
      <c r="G134" s="2" t="s">
        <v>252</v>
      </c>
      <c r="H134" s="2" t="s">
        <v>243</v>
      </c>
      <c r="I134" s="2" t="s">
        <v>653</v>
      </c>
      <c r="J134" s="3">
        <v>46568</v>
      </c>
      <c r="K134" s="3" t="s">
        <v>4</v>
      </c>
      <c r="L134" s="4">
        <v>66</v>
      </c>
      <c r="M134" s="43"/>
      <c r="N134" s="43"/>
      <c r="O134" s="17" t="s">
        <v>168</v>
      </c>
      <c r="P134" s="4" t="s">
        <v>237</v>
      </c>
    </row>
    <row r="135" spans="1:16" x14ac:dyDescent="0.45">
      <c r="A135" s="32">
        <v>13111367</v>
      </c>
      <c r="B135" s="32" t="s">
        <v>796</v>
      </c>
      <c r="C135" s="16" t="s">
        <v>0</v>
      </c>
      <c r="D135" s="2" t="s">
        <v>239</v>
      </c>
      <c r="E135" s="2" t="s">
        <v>654</v>
      </c>
      <c r="F135" s="2" t="s">
        <v>648</v>
      </c>
      <c r="G135" s="2" t="s">
        <v>649</v>
      </c>
      <c r="H135" s="2" t="s">
        <v>243</v>
      </c>
      <c r="I135" s="2" t="s">
        <v>655</v>
      </c>
      <c r="J135" s="3">
        <v>46568</v>
      </c>
      <c r="K135" s="3" t="s">
        <v>4</v>
      </c>
      <c r="L135" s="4">
        <v>59</v>
      </c>
      <c r="M135" s="43" t="s">
        <v>656</v>
      </c>
      <c r="N135" s="43">
        <v>22</v>
      </c>
      <c r="O135" s="17" t="s">
        <v>168</v>
      </c>
      <c r="P135" s="4" t="s">
        <v>237</v>
      </c>
    </row>
    <row r="136" spans="1:16" x14ac:dyDescent="0.45">
      <c r="A136" s="32">
        <v>13111367</v>
      </c>
      <c r="B136" s="32" t="s">
        <v>796</v>
      </c>
      <c r="C136" s="16" t="s">
        <v>0</v>
      </c>
      <c r="D136" s="2" t="s">
        <v>239</v>
      </c>
      <c r="E136" s="2" t="s">
        <v>657</v>
      </c>
      <c r="F136" s="2" t="s">
        <v>648</v>
      </c>
      <c r="G136" s="2" t="s">
        <v>649</v>
      </c>
      <c r="H136" s="2" t="s">
        <v>243</v>
      </c>
      <c r="I136" s="2" t="s">
        <v>658</v>
      </c>
      <c r="J136" s="3">
        <v>46433</v>
      </c>
      <c r="K136" s="3" t="s">
        <v>13</v>
      </c>
      <c r="L136" s="4">
        <v>60</v>
      </c>
      <c r="M136" s="43"/>
      <c r="N136" s="43"/>
      <c r="O136" s="17" t="s">
        <v>168</v>
      </c>
      <c r="P136" s="4" t="s">
        <v>237</v>
      </c>
    </row>
    <row r="137" spans="1:16" x14ac:dyDescent="0.45">
      <c r="A137" s="32">
        <v>13111367</v>
      </c>
      <c r="B137" s="32" t="s">
        <v>796</v>
      </c>
      <c r="C137" s="16" t="s">
        <v>0</v>
      </c>
      <c r="D137" s="2" t="s">
        <v>239</v>
      </c>
      <c r="E137" s="2" t="s">
        <v>659</v>
      </c>
      <c r="F137" s="2" t="s">
        <v>648</v>
      </c>
      <c r="G137" s="2" t="s">
        <v>649</v>
      </c>
      <c r="H137" s="2" t="s">
        <v>243</v>
      </c>
      <c r="I137" s="2" t="s">
        <v>660</v>
      </c>
      <c r="J137" s="3">
        <v>46599</v>
      </c>
      <c r="K137" s="3" t="s">
        <v>4</v>
      </c>
      <c r="L137" s="4">
        <v>34</v>
      </c>
      <c r="M137" s="43" t="s">
        <v>661</v>
      </c>
      <c r="N137" s="43">
        <v>23</v>
      </c>
      <c r="O137" s="17" t="s">
        <v>168</v>
      </c>
      <c r="P137" s="4" t="s">
        <v>237</v>
      </c>
    </row>
    <row r="138" spans="1:16" x14ac:dyDescent="0.45">
      <c r="A138" s="32">
        <v>13111367</v>
      </c>
      <c r="B138" s="32" t="s">
        <v>796</v>
      </c>
      <c r="C138" s="16" t="s">
        <v>0</v>
      </c>
      <c r="D138" s="2" t="s">
        <v>239</v>
      </c>
      <c r="E138" s="2" t="s">
        <v>662</v>
      </c>
      <c r="F138" s="2" t="s">
        <v>648</v>
      </c>
      <c r="G138" s="2" t="s">
        <v>649</v>
      </c>
      <c r="H138" s="2" t="s">
        <v>243</v>
      </c>
      <c r="I138" s="2" t="s">
        <v>663</v>
      </c>
      <c r="J138" s="3">
        <v>46630</v>
      </c>
      <c r="K138" s="3" t="s">
        <v>4</v>
      </c>
      <c r="L138" s="4">
        <v>41</v>
      </c>
      <c r="M138" s="43"/>
      <c r="N138" s="43"/>
      <c r="O138" s="17" t="s">
        <v>168</v>
      </c>
      <c r="P138" s="4" t="s">
        <v>237</v>
      </c>
    </row>
    <row r="139" spans="1:16" x14ac:dyDescent="0.45">
      <c r="A139" s="32">
        <v>13111367</v>
      </c>
      <c r="B139" s="32" t="s">
        <v>796</v>
      </c>
      <c r="C139" s="16" t="s">
        <v>0</v>
      </c>
      <c r="D139" s="2" t="s">
        <v>239</v>
      </c>
      <c r="E139" s="2" t="s">
        <v>664</v>
      </c>
      <c r="F139" s="2" t="s">
        <v>648</v>
      </c>
      <c r="G139" s="2" t="s">
        <v>649</v>
      </c>
      <c r="H139" s="2" t="s">
        <v>243</v>
      </c>
      <c r="I139" s="2" t="s">
        <v>665</v>
      </c>
      <c r="J139" s="3">
        <v>46465</v>
      </c>
      <c r="K139" s="3" t="s">
        <v>13</v>
      </c>
      <c r="L139" s="4">
        <v>25</v>
      </c>
      <c r="M139" s="43"/>
      <c r="N139" s="43"/>
      <c r="O139" s="17" t="s">
        <v>168</v>
      </c>
      <c r="P139" s="4" t="s">
        <v>237</v>
      </c>
    </row>
    <row r="140" spans="1:16" x14ac:dyDescent="0.45">
      <c r="A140" s="32">
        <v>13111367</v>
      </c>
      <c r="B140" s="32" t="s">
        <v>796</v>
      </c>
      <c r="C140" s="16" t="s">
        <v>0</v>
      </c>
      <c r="D140" s="2" t="s">
        <v>239</v>
      </c>
      <c r="E140" s="2" t="s">
        <v>666</v>
      </c>
      <c r="F140" s="2" t="s">
        <v>246</v>
      </c>
      <c r="G140" s="2" t="s">
        <v>247</v>
      </c>
      <c r="H140" s="2" t="s">
        <v>243</v>
      </c>
      <c r="I140" s="2" t="s">
        <v>667</v>
      </c>
      <c r="J140" s="3">
        <v>46538</v>
      </c>
      <c r="K140" s="3" t="s">
        <v>4</v>
      </c>
      <c r="L140" s="4">
        <v>33</v>
      </c>
      <c r="M140" s="43" t="s">
        <v>668</v>
      </c>
      <c r="N140" s="43">
        <v>24</v>
      </c>
      <c r="O140" s="17" t="s">
        <v>168</v>
      </c>
      <c r="P140" s="4" t="s">
        <v>237</v>
      </c>
    </row>
    <row r="141" spans="1:16" x14ac:dyDescent="0.45">
      <c r="A141" s="32">
        <v>13111367</v>
      </c>
      <c r="B141" s="32" t="s">
        <v>796</v>
      </c>
      <c r="C141" s="16" t="s">
        <v>0</v>
      </c>
      <c r="D141" s="2" t="s">
        <v>239</v>
      </c>
      <c r="E141" s="2" t="s">
        <v>669</v>
      </c>
      <c r="F141" s="2" t="s">
        <v>246</v>
      </c>
      <c r="G141" s="2" t="s">
        <v>247</v>
      </c>
      <c r="H141" s="2" t="s">
        <v>243</v>
      </c>
      <c r="I141" s="2" t="s">
        <v>670</v>
      </c>
      <c r="J141" s="3">
        <v>46568</v>
      </c>
      <c r="K141" s="3" t="s">
        <v>4</v>
      </c>
      <c r="L141" s="4">
        <v>26</v>
      </c>
      <c r="M141" s="43"/>
      <c r="N141" s="43"/>
      <c r="O141" s="17" t="s">
        <v>168</v>
      </c>
      <c r="P141" s="4" t="s">
        <v>237</v>
      </c>
    </row>
    <row r="142" spans="1:16" x14ac:dyDescent="0.45">
      <c r="A142" s="32">
        <v>13111367</v>
      </c>
      <c r="B142" s="32" t="s">
        <v>796</v>
      </c>
      <c r="C142" s="16" t="s">
        <v>0</v>
      </c>
      <c r="D142" s="2" t="s">
        <v>239</v>
      </c>
      <c r="E142" s="2" t="s">
        <v>671</v>
      </c>
      <c r="F142" s="2" t="s">
        <v>246</v>
      </c>
      <c r="G142" s="2" t="s">
        <v>247</v>
      </c>
      <c r="H142" s="2" t="s">
        <v>243</v>
      </c>
      <c r="I142" s="2" t="s">
        <v>672</v>
      </c>
      <c r="J142" s="3">
        <v>46438</v>
      </c>
      <c r="K142" s="3" t="s">
        <v>13</v>
      </c>
      <c r="L142" s="4">
        <v>33</v>
      </c>
      <c r="M142" s="43"/>
      <c r="N142" s="43"/>
      <c r="O142" s="17" t="s">
        <v>168</v>
      </c>
      <c r="P142" s="4" t="s">
        <v>237</v>
      </c>
    </row>
    <row r="143" spans="1:16" x14ac:dyDescent="0.45">
      <c r="A143" s="5"/>
      <c r="B143" s="5"/>
      <c r="C143" s="42" t="s">
        <v>157</v>
      </c>
      <c r="D143" s="42"/>
      <c r="E143" s="42"/>
      <c r="F143" s="42"/>
      <c r="G143" s="42"/>
      <c r="H143" s="42"/>
      <c r="I143" s="42"/>
      <c r="J143" s="42"/>
      <c r="K143" s="42"/>
      <c r="L143" s="7">
        <f>SUM(L85:L142)</f>
        <v>2471</v>
      </c>
      <c r="M143" s="21" t="s">
        <v>673</v>
      </c>
      <c r="N143" s="21" t="s">
        <v>673</v>
      </c>
      <c r="O143" s="5"/>
      <c r="P143" s="5"/>
    </row>
  </sheetData>
  <mergeCells count="117">
    <mergeCell ref="C143:K143"/>
    <mergeCell ref="M121:M122"/>
    <mergeCell ref="M123:M125"/>
    <mergeCell ref="M126:M127"/>
    <mergeCell ref="M128:M129"/>
    <mergeCell ref="M130:M132"/>
    <mergeCell ref="M133:M134"/>
    <mergeCell ref="C47:K47"/>
    <mergeCell ref="C84:K84"/>
    <mergeCell ref="M135:M136"/>
    <mergeCell ref="M137:M139"/>
    <mergeCell ref="M140:M142"/>
    <mergeCell ref="M119:M120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2"/>
    <mergeCell ref="M113:M116"/>
    <mergeCell ref="M117:M118"/>
    <mergeCell ref="M92:M93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5:M88"/>
    <mergeCell ref="M89:M91"/>
    <mergeCell ref="M63:M64"/>
    <mergeCell ref="M32:M33"/>
    <mergeCell ref="M34:M36"/>
    <mergeCell ref="M37:M38"/>
    <mergeCell ref="M39:M40"/>
    <mergeCell ref="M41:M44"/>
    <mergeCell ref="M45:M46"/>
    <mergeCell ref="M48:M49"/>
    <mergeCell ref="M51:M52"/>
    <mergeCell ref="M53:M54"/>
    <mergeCell ref="M55:M56"/>
    <mergeCell ref="M60:M61"/>
    <mergeCell ref="N19:N20"/>
    <mergeCell ref="M30:M31"/>
    <mergeCell ref="M3:M4"/>
    <mergeCell ref="M5:M7"/>
    <mergeCell ref="M8:M9"/>
    <mergeCell ref="M10:M11"/>
    <mergeCell ref="M13:M15"/>
    <mergeCell ref="M16:M18"/>
    <mergeCell ref="M19:M20"/>
    <mergeCell ref="M21:M23"/>
    <mergeCell ref="M24:M25"/>
    <mergeCell ref="M26:M27"/>
    <mergeCell ref="M28:M29"/>
    <mergeCell ref="N53:N54"/>
    <mergeCell ref="N55:N56"/>
    <mergeCell ref="N60:N61"/>
    <mergeCell ref="N63:N64"/>
    <mergeCell ref="N65:N66"/>
    <mergeCell ref="N45:N46"/>
    <mergeCell ref="N3:N4"/>
    <mergeCell ref="N5:N7"/>
    <mergeCell ref="N48:N49"/>
    <mergeCell ref="N51:N52"/>
    <mergeCell ref="N32:N33"/>
    <mergeCell ref="N34:N36"/>
    <mergeCell ref="N37:N38"/>
    <mergeCell ref="N39:N40"/>
    <mergeCell ref="N41:N44"/>
    <mergeCell ref="N21:N23"/>
    <mergeCell ref="N24:N25"/>
    <mergeCell ref="N26:N27"/>
    <mergeCell ref="N28:N29"/>
    <mergeCell ref="N30:N31"/>
    <mergeCell ref="N8:N9"/>
    <mergeCell ref="N10:N11"/>
    <mergeCell ref="N13:N15"/>
    <mergeCell ref="N16:N18"/>
    <mergeCell ref="N77:N78"/>
    <mergeCell ref="N79:N80"/>
    <mergeCell ref="N81:N82"/>
    <mergeCell ref="N85:N88"/>
    <mergeCell ref="N89:N91"/>
    <mergeCell ref="N67:N68"/>
    <mergeCell ref="N69:N70"/>
    <mergeCell ref="N71:N72"/>
    <mergeCell ref="N73:N74"/>
    <mergeCell ref="N75:N76"/>
    <mergeCell ref="N102:N103"/>
    <mergeCell ref="N104:N105"/>
    <mergeCell ref="N106:N107"/>
    <mergeCell ref="N108:N109"/>
    <mergeCell ref="N110:N112"/>
    <mergeCell ref="N92:N93"/>
    <mergeCell ref="N94:N95"/>
    <mergeCell ref="N96:N97"/>
    <mergeCell ref="N98:N99"/>
    <mergeCell ref="N100:N101"/>
    <mergeCell ref="N137:N139"/>
    <mergeCell ref="N140:N142"/>
    <mergeCell ref="N126:N127"/>
    <mergeCell ref="N128:N129"/>
    <mergeCell ref="N130:N132"/>
    <mergeCell ref="N133:N134"/>
    <mergeCell ref="N135:N136"/>
    <mergeCell ref="N113:N116"/>
    <mergeCell ref="N117:N118"/>
    <mergeCell ref="N119:N120"/>
    <mergeCell ref="N121:N122"/>
    <mergeCell ref="N123:N125"/>
  </mergeCells>
  <phoneticPr fontId="5" type="noConversion"/>
  <conditionalFormatting sqref="I143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B6E2D99953846A3268AA74E128005" ma:contentTypeVersion="17" ma:contentTypeDescription="Create a new document." ma:contentTypeScope="" ma:versionID="01af9121a6143eabc0f611bb1e9849b5">
  <xsd:schema xmlns:xsd="http://www.w3.org/2001/XMLSchema" xmlns:xs="http://www.w3.org/2001/XMLSchema" xmlns:p="http://schemas.microsoft.com/office/2006/metadata/properties" xmlns:ns2="97a6e466-a9c8-4a80-909c-49a3da95f35c" xmlns:ns3="ab2ff108-c9f7-4de7-8569-becdcd482077" targetNamespace="http://schemas.microsoft.com/office/2006/metadata/properties" ma:root="true" ma:fieldsID="c5c8d6f65648c559939604459471fe7c" ns2:_="" ns3:_="">
    <xsd:import namespace="97a6e466-a9c8-4a80-909c-49a3da95f35c"/>
    <xsd:import namespace="ab2ff108-c9f7-4de7-8569-becdcd4820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e466-a9c8-4a80-909c-49a3da95f3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069ff4-0d3b-4181-b1ce-a80ce85fa3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ff108-c9f7-4de7-8569-becdcd4820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a8f7bdc-3962-42ca-8aa6-1e64e8cea9bb}" ma:internalName="TaxCatchAll" ma:showField="CatchAllData" ma:web="ab2ff108-c9f7-4de7-8569-becdcd4820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a6e466-a9c8-4a80-909c-49a3da95f35c">
      <Terms xmlns="http://schemas.microsoft.com/office/infopath/2007/PartnerControls"/>
    </lcf76f155ced4ddcb4097134ff3c332f>
    <TaxCatchAll xmlns="ab2ff108-c9f7-4de7-8569-becdcd482077" xsi:nil="true"/>
  </documentManagement>
</p:properties>
</file>

<file path=customXml/itemProps1.xml><?xml version="1.0" encoding="utf-8"?>
<ds:datastoreItem xmlns:ds="http://schemas.openxmlformats.org/officeDocument/2006/customXml" ds:itemID="{C9355633-2CCF-4C80-8514-0DBAF0104B90}"/>
</file>

<file path=customXml/itemProps2.xml><?xml version="1.0" encoding="utf-8"?>
<ds:datastoreItem xmlns:ds="http://schemas.openxmlformats.org/officeDocument/2006/customXml" ds:itemID="{3630D994-6B63-4D22-BE04-CCA31C87A591}"/>
</file>

<file path=customXml/itemProps3.xml><?xml version="1.0" encoding="utf-8"?>
<ds:datastoreItem xmlns:ds="http://schemas.openxmlformats.org/officeDocument/2006/customXml" ds:itemID="{54AA3722-6AFA-4E62-BD32-D5A8D880FE59}"/>
</file>

<file path=docMetadata/LabelInfo.xml><?xml version="1.0" encoding="utf-8"?>
<clbl:labelList xmlns:clbl="http://schemas.microsoft.com/office/2020/mipLabelMetadata">
  <clbl:label id="{5b38ccae-ae3a-4ea2-8914-c4caea99805f}" enabled="1" method="Standard" siteId="{f01d65ba-e57e-4f8f-8143-a43ed634f3c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RDS014871-PLZW22L24 060826</vt:lpstr>
      <vt:lpstr>RDS015113-BORW24L1 070826</vt:lpstr>
      <vt:lpstr>RDS015113-ICTW24L3 100826</vt:lpstr>
      <vt:lpstr>RDS015113-WIJW24L1 TBC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Jestin Varghese</dc:creator>
  <cp:lastModifiedBy>Will Robinson</cp:lastModifiedBy>
  <dcterms:created xsi:type="dcterms:W3CDTF">2026-07-28T14:47:32Z</dcterms:created>
  <dcterms:modified xsi:type="dcterms:W3CDTF">2026-08-06T07:43:10Z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0x0101000B5B6E2D99953846A3268AA74E128005</vt:lpwstr>
  </property>
</Properties>
</file>